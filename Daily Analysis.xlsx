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E:\BEIL\"/>
    </mc:Choice>
  </mc:AlternateContent>
  <xr:revisionPtr revIDLastSave="0" documentId="13_ncr:1_{92C6F3F1-6E11-4D95-972F-AF10C4BA989A}" xr6:coauthVersionLast="47" xr6:coauthVersionMax="47" xr10:uidLastSave="{00000000-0000-0000-0000-000000000000}"/>
  <bookViews>
    <workbookView xWindow="-120" yWindow="-120" windowWidth="20730" windowHeight="11040" activeTab="1" xr2:uid="{00000000-000D-0000-FFFF-FFFF00000000}"/>
  </bookViews>
  <sheets>
    <sheet name="Report Book" sheetId="9" r:id="rId1"/>
    <sheet name="Dashboard (Daily Analysis)" sheetId="13" r:id="rId2"/>
    <sheet name="Analysis Sheet 1" sheetId="10" r:id="rId3"/>
    <sheet name="Analysis Sheet 2" sheetId="11" r:id="rId4"/>
    <sheet name="Parameter (Wise)" sheetId="7" r:id="rId5"/>
    <sheet name="Stages (Wise)" sheetId="8" r:id="rId6"/>
  </sheets>
  <definedNames>
    <definedName name="_xlnm._FilterDatabase" localSheetId="2" hidden="1">'Analysis Sheet 1'!$A$1:$A$179</definedName>
    <definedName name="_xlnm.Extract" localSheetId="2">'Analysis Sheet 1'!$N$1:$N$21</definedName>
    <definedName name="Slicer_Parameter">#N/A</definedName>
    <definedName name="Slicer_Parameters">#N/A</definedName>
    <definedName name="Slicer_Stages">#N/A</definedName>
    <definedName name="Slicer_Stages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7" i="9" l="1"/>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AF37" i="9"/>
  <c r="AG37" i="9"/>
  <c r="AH37" i="9"/>
  <c r="AI37" i="9"/>
  <c r="AJ37" i="9"/>
  <c r="AK37" i="9"/>
  <c r="AL37" i="9"/>
  <c r="AM37" i="9"/>
  <c r="AN37" i="9"/>
  <c r="AO37" i="9"/>
  <c r="AP37" i="9"/>
  <c r="AQ37" i="9"/>
  <c r="AR37" i="9"/>
  <c r="AS37" i="9"/>
  <c r="AT37" i="9"/>
  <c r="AU37" i="9"/>
  <c r="AV37" i="9"/>
  <c r="AW37" i="9"/>
  <c r="AX37" i="9"/>
  <c r="AY37" i="9"/>
  <c r="AZ37" i="9"/>
  <c r="BA37" i="9"/>
  <c r="BB37" i="9"/>
  <c r="BC37" i="9"/>
  <c r="BD37" i="9"/>
  <c r="BE37" i="9"/>
  <c r="BF37" i="9"/>
  <c r="BG37" i="9"/>
  <c r="BH37" i="9"/>
  <c r="BI37" i="9"/>
  <c r="BJ37" i="9"/>
  <c r="BK37" i="9"/>
  <c r="BL37" i="9"/>
  <c r="BM37" i="9"/>
  <c r="BN37" i="9"/>
  <c r="BO37" i="9"/>
  <c r="BP37" i="9"/>
  <c r="BQ37" i="9"/>
  <c r="BR37" i="9"/>
  <c r="BS37" i="9"/>
  <c r="BT37" i="9"/>
  <c r="BU37" i="9"/>
  <c r="BV37" i="9"/>
  <c r="BW37" i="9"/>
  <c r="BX37" i="9"/>
  <c r="BY37" i="9"/>
  <c r="BZ37" i="9"/>
  <c r="CA37" i="9"/>
  <c r="CB37" i="9"/>
  <c r="CC37" i="9"/>
  <c r="CD37" i="9"/>
  <c r="CE37" i="9"/>
  <c r="CF37" i="9"/>
  <c r="CG37" i="9"/>
  <c r="CH37" i="9"/>
  <c r="CI37" i="9"/>
  <c r="CJ37" i="9"/>
  <c r="CK37" i="9"/>
  <c r="CL37" i="9"/>
  <c r="CM37" i="9"/>
  <c r="CN37" i="9"/>
  <c r="CO37" i="9"/>
  <c r="CP37" i="9"/>
  <c r="CQ37" i="9"/>
  <c r="CR37" i="9"/>
  <c r="CS37" i="9"/>
  <c r="CT37" i="9"/>
  <c r="CU37" i="9"/>
  <c r="CV37" i="9"/>
  <c r="CW37" i="9"/>
  <c r="CX37" i="9"/>
  <c r="CY37" i="9"/>
  <c r="CZ37" i="9"/>
  <c r="DA37" i="9"/>
  <c r="DB37" i="9"/>
  <c r="DC37" i="9"/>
  <c r="DD37" i="9"/>
  <c r="DE37" i="9"/>
  <c r="DF37" i="9"/>
  <c r="DG37" i="9"/>
  <c r="DH37" i="9"/>
  <c r="DI37" i="9"/>
  <c r="DJ37" i="9"/>
  <c r="DK37" i="9"/>
  <c r="DL37" i="9"/>
  <c r="DM37" i="9"/>
  <c r="DN37" i="9"/>
  <c r="DO37" i="9"/>
  <c r="DP37" i="9"/>
  <c r="DQ37" i="9"/>
  <c r="DR37" i="9"/>
  <c r="DS37" i="9"/>
  <c r="DT37" i="9"/>
  <c r="DU37" i="9"/>
  <c r="DV37" i="9"/>
  <c r="DW37" i="9"/>
  <c r="DX37" i="9"/>
  <c r="DY37" i="9"/>
  <c r="DZ37" i="9"/>
  <c r="EA37" i="9"/>
  <c r="EB37" i="9"/>
  <c r="EC37" i="9"/>
  <c r="ED37" i="9"/>
  <c r="EE37" i="9"/>
  <c r="EF37" i="9"/>
  <c r="EG37" i="9"/>
  <c r="EH37" i="9"/>
  <c r="EI37" i="9"/>
  <c r="EJ37" i="9"/>
  <c r="EK37" i="9"/>
  <c r="EL37" i="9"/>
  <c r="EM37" i="9"/>
  <c r="EN37" i="9"/>
  <c r="EO37" i="9"/>
  <c r="EP37" i="9"/>
  <c r="EQ37" i="9"/>
  <c r="ER37" i="9"/>
  <c r="ES37" i="9"/>
  <c r="ET37" i="9"/>
  <c r="EU37" i="9"/>
  <c r="EV37" i="9"/>
  <c r="EW37" i="9"/>
  <c r="EX37" i="9"/>
  <c r="EY37" i="9"/>
  <c r="EZ37" i="9"/>
  <c r="FA37" i="9"/>
  <c r="FB37" i="9"/>
  <c r="FC37" i="9"/>
  <c r="FD37" i="9"/>
  <c r="FE37" i="9"/>
  <c r="FF37" i="9"/>
  <c r="FG37" i="9"/>
  <c r="FH37" i="9"/>
  <c r="FI37" i="9"/>
  <c r="FJ37" i="9"/>
  <c r="FK37" i="9"/>
  <c r="FL37" i="9"/>
  <c r="FM37" i="9"/>
  <c r="FN37" i="9"/>
  <c r="FO37" i="9"/>
  <c r="FP37" i="9"/>
  <c r="FQ37" i="9"/>
  <c r="FR37" i="9"/>
  <c r="FS37" i="9"/>
  <c r="FT37" i="9"/>
  <c r="FU37" i="9"/>
  <c r="FV37" i="9"/>
  <c r="FW37" i="9"/>
  <c r="FX37" i="9"/>
  <c r="FY37" i="9"/>
  <c r="FZ37" i="9"/>
  <c r="GA37" i="9"/>
  <c r="GB37" i="9"/>
  <c r="GC37" i="9"/>
  <c r="GD37" i="9"/>
  <c r="GE37" i="9"/>
  <c r="GF37" i="9"/>
  <c r="GG37" i="9"/>
  <c r="GH37" i="9"/>
  <c r="GI37" i="9"/>
  <c r="GJ37" i="9"/>
  <c r="GK37" i="9"/>
  <c r="GL37" i="9"/>
  <c r="GM37" i="9"/>
  <c r="GN37" i="9"/>
  <c r="GO37" i="9"/>
  <c r="GP37" i="9"/>
  <c r="GQ37" i="9"/>
  <c r="GR37" i="9"/>
  <c r="GS37" i="9"/>
  <c r="GT37" i="9"/>
  <c r="GU37" i="9"/>
  <c r="GV37" i="9"/>
  <c r="GW37" i="9"/>
  <c r="GX37" i="9"/>
  <c r="GY37" i="9"/>
  <c r="GZ37" i="9"/>
  <c r="HA37" i="9"/>
  <c r="HB37" i="9"/>
  <c r="HC37" i="9"/>
  <c r="HD37" i="9"/>
  <c r="HE37" i="9"/>
  <c r="HF37" i="9"/>
  <c r="HG37" i="9"/>
  <c r="HH37" i="9"/>
  <c r="HI37" i="9"/>
  <c r="HJ37" i="9"/>
  <c r="HK37" i="9"/>
  <c r="HL37" i="9"/>
  <c r="HM37" i="9"/>
  <c r="HN37" i="9"/>
  <c r="HO37" i="9"/>
  <c r="HP37" i="9"/>
  <c r="HQ37" i="9"/>
  <c r="HR37" i="9"/>
  <c r="HS37" i="9"/>
  <c r="HT37" i="9"/>
  <c r="HU37" i="9"/>
  <c r="HV37" i="9"/>
  <c r="HW37" i="9"/>
  <c r="HX37" i="9"/>
  <c r="HY37" i="9"/>
  <c r="HZ37" i="9"/>
  <c r="IA37" i="9"/>
  <c r="IB37" i="9"/>
  <c r="IC37" i="9"/>
  <c r="ID37" i="9"/>
  <c r="IE37" i="9"/>
  <c r="IF37" i="9"/>
  <c r="IG37" i="9"/>
  <c r="IH37" i="9"/>
  <c r="II37" i="9"/>
  <c r="IJ37" i="9"/>
  <c r="IK37" i="9"/>
  <c r="IL37" i="9"/>
  <c r="IM37" i="9"/>
  <c r="IN37" i="9"/>
  <c r="IO37" i="9"/>
  <c r="IP37" i="9"/>
  <c r="IQ37" i="9"/>
  <c r="IR37" i="9"/>
  <c r="IS37" i="9"/>
  <c r="IT37" i="9"/>
  <c r="IU37" i="9"/>
  <c r="IV37" i="9"/>
  <c r="IW37" i="9"/>
  <c r="IX37" i="9"/>
  <c r="IY37" i="9"/>
  <c r="IZ37" i="9"/>
  <c r="JA37" i="9"/>
  <c r="JB37" i="9"/>
  <c r="JC37" i="9"/>
  <c r="JD37" i="9"/>
  <c r="JE37" i="9"/>
  <c r="JF37" i="9"/>
  <c r="JG37" i="9"/>
  <c r="JH37" i="9"/>
  <c r="JI37" i="9"/>
  <c r="JJ37" i="9"/>
  <c r="JK37" i="9"/>
  <c r="JL37" i="9"/>
  <c r="JM37" i="9"/>
  <c r="JN37" i="9"/>
  <c r="JO37" i="9"/>
  <c r="JP37" i="9"/>
  <c r="JQ37" i="9"/>
  <c r="JR37" i="9"/>
  <c r="JS37" i="9"/>
  <c r="JT37" i="9"/>
  <c r="JU37" i="9"/>
  <c r="JV37" i="9"/>
  <c r="JW37" i="9"/>
  <c r="JX37" i="9"/>
  <c r="JY37" i="9"/>
  <c r="JZ37" i="9"/>
  <c r="KA37" i="9"/>
  <c r="KB37" i="9"/>
  <c r="E179" i="11"/>
  <c r="D179" i="11"/>
  <c r="C179" i="11"/>
  <c r="E178" i="11"/>
  <c r="D178" i="11"/>
  <c r="C178" i="11"/>
  <c r="E177" i="11"/>
  <c r="D177" i="11"/>
  <c r="C177" i="11"/>
  <c r="E176" i="11"/>
  <c r="D176" i="11"/>
  <c r="C176" i="11"/>
  <c r="E175" i="11"/>
  <c r="D175" i="11"/>
  <c r="C175" i="11"/>
  <c r="E174" i="11"/>
  <c r="D174" i="11"/>
  <c r="C174" i="11"/>
  <c r="E173" i="11"/>
  <c r="D173" i="11"/>
  <c r="C173" i="11"/>
  <c r="E172" i="11"/>
  <c r="D172" i="11"/>
  <c r="C172" i="11"/>
  <c r="E171" i="11"/>
  <c r="D171" i="11"/>
  <c r="C171" i="11"/>
  <c r="E170" i="11"/>
  <c r="D170" i="11"/>
  <c r="C170" i="11"/>
  <c r="E169" i="11"/>
  <c r="D169" i="11"/>
  <c r="C169" i="11"/>
  <c r="E168" i="11"/>
  <c r="D168" i="11"/>
  <c r="C168" i="11"/>
  <c r="E167" i="11"/>
  <c r="D167" i="11"/>
  <c r="C167" i="11"/>
  <c r="E166" i="11"/>
  <c r="D166" i="11"/>
  <c r="C166" i="11"/>
  <c r="E165" i="11"/>
  <c r="D165" i="11"/>
  <c r="C165" i="11"/>
  <c r="E164" i="11"/>
  <c r="D164" i="11"/>
  <c r="C164" i="11"/>
  <c r="E163" i="11"/>
  <c r="D163" i="11"/>
  <c r="C163" i="11"/>
  <c r="E162" i="11"/>
  <c r="D162" i="11"/>
  <c r="C162" i="11"/>
  <c r="E161" i="11"/>
  <c r="D161" i="11"/>
  <c r="C161" i="11"/>
  <c r="E160" i="11"/>
  <c r="D160" i="11"/>
  <c r="C160" i="11"/>
  <c r="E159" i="11"/>
  <c r="D159" i="11"/>
  <c r="C159" i="11"/>
  <c r="E158" i="11"/>
  <c r="D158" i="11"/>
  <c r="C158" i="11"/>
  <c r="E157" i="11"/>
  <c r="D157" i="11"/>
  <c r="C157" i="11"/>
  <c r="E156" i="11"/>
  <c r="D156" i="11"/>
  <c r="C156" i="11"/>
  <c r="E155" i="11"/>
  <c r="D155" i="11"/>
  <c r="C155" i="11"/>
  <c r="E154" i="11"/>
  <c r="D154" i="11"/>
  <c r="C154" i="11"/>
  <c r="E153" i="11"/>
  <c r="D153" i="11"/>
  <c r="C153" i="11"/>
  <c r="E152" i="11"/>
  <c r="D152" i="11"/>
  <c r="C152" i="11"/>
  <c r="E151" i="11"/>
  <c r="D151" i="11"/>
  <c r="C151" i="11"/>
  <c r="E150" i="11"/>
  <c r="D150" i="11"/>
  <c r="C150" i="11"/>
  <c r="E149" i="11"/>
  <c r="D149" i="11"/>
  <c r="C149" i="11"/>
  <c r="E148" i="11"/>
  <c r="D148" i="11"/>
  <c r="C148" i="11"/>
  <c r="E147" i="11"/>
  <c r="D147" i="11"/>
  <c r="C147" i="11"/>
  <c r="E146" i="11"/>
  <c r="D146" i="11"/>
  <c r="C146" i="11"/>
  <c r="E145" i="11"/>
  <c r="D145" i="11"/>
  <c r="C145" i="11"/>
  <c r="E144" i="11"/>
  <c r="D144" i="11"/>
  <c r="C144" i="11"/>
  <c r="E143" i="11"/>
  <c r="D143" i="11"/>
  <c r="C143" i="11"/>
  <c r="E142" i="11"/>
  <c r="D142" i="11"/>
  <c r="C142" i="11"/>
  <c r="E141" i="11"/>
  <c r="D141" i="11"/>
  <c r="C141" i="11"/>
  <c r="E140" i="11"/>
  <c r="D140" i="11"/>
  <c r="C140" i="11"/>
  <c r="E139" i="11"/>
  <c r="D139" i="11"/>
  <c r="C139" i="11"/>
  <c r="E138" i="11"/>
  <c r="D138" i="11"/>
  <c r="C138" i="11"/>
  <c r="E137" i="11"/>
  <c r="D137" i="11"/>
  <c r="C137" i="11"/>
  <c r="E136" i="11"/>
  <c r="D136" i="11"/>
  <c r="C136" i="11"/>
  <c r="E135" i="11"/>
  <c r="D135" i="11"/>
  <c r="C135" i="11"/>
  <c r="E134" i="11"/>
  <c r="D134" i="11"/>
  <c r="C134" i="11"/>
  <c r="E133" i="11"/>
  <c r="D133" i="11"/>
  <c r="C133" i="11"/>
  <c r="E132" i="11"/>
  <c r="D132" i="11"/>
  <c r="C132" i="11"/>
  <c r="E131" i="11"/>
  <c r="D131" i="11"/>
  <c r="C131" i="11"/>
  <c r="E130" i="11"/>
  <c r="D130" i="11"/>
  <c r="C130" i="11"/>
  <c r="E129" i="11"/>
  <c r="D129" i="11"/>
  <c r="C129" i="11"/>
  <c r="E128" i="11"/>
  <c r="D128" i="11"/>
  <c r="C128" i="11"/>
  <c r="E127" i="11"/>
  <c r="D127" i="11"/>
  <c r="C127" i="11"/>
  <c r="E126" i="11"/>
  <c r="D126" i="11"/>
  <c r="C126" i="11"/>
  <c r="E125" i="11"/>
  <c r="D125" i="11"/>
  <c r="C125" i="11"/>
  <c r="E124" i="11"/>
  <c r="D124" i="11"/>
  <c r="C124" i="11"/>
  <c r="E123" i="11"/>
  <c r="D123" i="11"/>
  <c r="C123" i="11"/>
  <c r="E122" i="11"/>
  <c r="D122" i="11"/>
  <c r="C122" i="11"/>
  <c r="E121" i="11"/>
  <c r="D121" i="11"/>
  <c r="C121" i="11"/>
  <c r="E120" i="11"/>
  <c r="D120" i="11"/>
  <c r="C120" i="11"/>
  <c r="E119" i="11"/>
  <c r="D119" i="11"/>
  <c r="C119" i="11"/>
  <c r="E118" i="11"/>
  <c r="D118" i="11"/>
  <c r="C118" i="11"/>
  <c r="E117" i="11"/>
  <c r="D117" i="11"/>
  <c r="C117" i="11"/>
  <c r="E116" i="11"/>
  <c r="D116" i="11"/>
  <c r="C116" i="11"/>
  <c r="E115" i="11"/>
  <c r="D115" i="11"/>
  <c r="C115" i="11"/>
  <c r="E114" i="11"/>
  <c r="D114" i="11"/>
  <c r="C114" i="11"/>
  <c r="E113" i="11"/>
  <c r="D113" i="11"/>
  <c r="C113" i="11"/>
  <c r="E112" i="11"/>
  <c r="D112" i="11"/>
  <c r="C112" i="11"/>
  <c r="E111" i="11"/>
  <c r="D111" i="11"/>
  <c r="C111" i="11"/>
  <c r="E110" i="11"/>
  <c r="D110" i="11"/>
  <c r="C110" i="11"/>
  <c r="E109" i="11"/>
  <c r="D109" i="11"/>
  <c r="C109" i="11"/>
  <c r="E107" i="11"/>
  <c r="D107" i="11"/>
  <c r="C107" i="11"/>
  <c r="E106" i="11"/>
  <c r="D106" i="11"/>
  <c r="C106" i="11"/>
  <c r="E105" i="11"/>
  <c r="D105" i="11"/>
  <c r="C105" i="11"/>
  <c r="E104" i="11"/>
  <c r="D104" i="11"/>
  <c r="C104" i="11"/>
  <c r="E103" i="11"/>
  <c r="D103" i="11"/>
  <c r="C103" i="11"/>
  <c r="E102" i="11"/>
  <c r="D102" i="11"/>
  <c r="C102" i="11"/>
  <c r="E101" i="11"/>
  <c r="D101" i="11"/>
  <c r="C101" i="11"/>
  <c r="E100" i="11"/>
  <c r="D100" i="11"/>
  <c r="C100" i="11"/>
  <c r="E99" i="11"/>
  <c r="D99" i="11"/>
  <c r="C99" i="11"/>
  <c r="E98" i="11"/>
  <c r="D98" i="11"/>
  <c r="C98" i="11"/>
  <c r="E97" i="11"/>
  <c r="D97" i="11"/>
  <c r="C97" i="11"/>
  <c r="E96" i="11"/>
  <c r="D96" i="11"/>
  <c r="C96" i="11"/>
  <c r="E95" i="11"/>
  <c r="D95" i="11"/>
  <c r="C95" i="11"/>
  <c r="E94" i="11"/>
  <c r="D94" i="11"/>
  <c r="C94" i="11"/>
  <c r="E93" i="11"/>
  <c r="D93" i="11"/>
  <c r="C93" i="11"/>
  <c r="E92" i="11"/>
  <c r="D92" i="11"/>
  <c r="C92" i="11"/>
  <c r="E91" i="11"/>
  <c r="D91" i="11"/>
  <c r="C91" i="11"/>
  <c r="E90" i="11"/>
  <c r="D90" i="11"/>
  <c r="C90" i="11"/>
  <c r="E89" i="11"/>
  <c r="D89" i="11"/>
  <c r="C89" i="11"/>
  <c r="E88" i="11"/>
  <c r="D88" i="11"/>
  <c r="C88" i="11"/>
  <c r="E87" i="11"/>
  <c r="D87" i="11"/>
  <c r="C87" i="11"/>
  <c r="E86" i="11"/>
  <c r="D86" i="11"/>
  <c r="C86" i="11"/>
  <c r="E85" i="11"/>
  <c r="D85" i="11"/>
  <c r="C85" i="11"/>
  <c r="E84" i="11"/>
  <c r="D84" i="11"/>
  <c r="C84" i="11"/>
  <c r="E82" i="11"/>
  <c r="D82" i="11"/>
  <c r="C82" i="11"/>
  <c r="E81" i="11"/>
  <c r="D81" i="11"/>
  <c r="C81" i="11"/>
  <c r="E80" i="11"/>
  <c r="D80" i="11"/>
  <c r="C80" i="11"/>
  <c r="E79" i="11"/>
  <c r="D79" i="11"/>
  <c r="C79" i="11"/>
  <c r="E78" i="11"/>
  <c r="D78" i="11"/>
  <c r="C78" i="11"/>
  <c r="E77" i="11"/>
  <c r="D77" i="11"/>
  <c r="C77" i="11"/>
  <c r="E76" i="11"/>
  <c r="D76" i="11"/>
  <c r="C76" i="11"/>
  <c r="E75" i="11"/>
  <c r="D75" i="11"/>
  <c r="C75" i="11"/>
  <c r="E74" i="11"/>
  <c r="D74" i="11"/>
  <c r="C74" i="11"/>
  <c r="E73" i="11"/>
  <c r="D73" i="11"/>
  <c r="C73" i="11"/>
  <c r="E72" i="11"/>
  <c r="D72" i="11"/>
  <c r="C72" i="11"/>
  <c r="E71" i="11"/>
  <c r="D71" i="11"/>
  <c r="C71" i="11"/>
  <c r="E70" i="11"/>
  <c r="D70" i="11"/>
  <c r="C70" i="11"/>
  <c r="E69" i="11"/>
  <c r="D69" i="11"/>
  <c r="C69" i="11"/>
  <c r="E68" i="11"/>
  <c r="D68" i="11"/>
  <c r="C68" i="11"/>
  <c r="E67" i="11"/>
  <c r="D67" i="11"/>
  <c r="C67" i="11"/>
  <c r="E66" i="11"/>
  <c r="D66" i="11"/>
  <c r="C66" i="11"/>
  <c r="E65" i="11"/>
  <c r="D65" i="11"/>
  <c r="C65" i="11"/>
  <c r="E63" i="11"/>
  <c r="D63" i="11"/>
  <c r="C63" i="11"/>
  <c r="E62" i="11"/>
  <c r="D62" i="11"/>
  <c r="C62" i="11"/>
  <c r="E61" i="11"/>
  <c r="D61" i="11"/>
  <c r="C61" i="11"/>
  <c r="E60" i="11"/>
  <c r="D60" i="11"/>
  <c r="C60" i="11"/>
  <c r="E59" i="11"/>
  <c r="D59" i="11"/>
  <c r="C59" i="11"/>
  <c r="E58" i="11"/>
  <c r="D58" i="11"/>
  <c r="C58" i="11"/>
  <c r="E57" i="11"/>
  <c r="D57" i="11"/>
  <c r="C57" i="11"/>
  <c r="E56" i="11"/>
  <c r="D56" i="11"/>
  <c r="C56" i="11"/>
  <c r="E54" i="11"/>
  <c r="D54" i="11"/>
  <c r="C54" i="11"/>
  <c r="E53" i="11"/>
  <c r="D53" i="11"/>
  <c r="C53" i="11"/>
  <c r="E52" i="11"/>
  <c r="D52" i="11"/>
  <c r="C52" i="11"/>
  <c r="E51" i="11"/>
  <c r="D51" i="11"/>
  <c r="C51" i="11"/>
  <c r="E50" i="11"/>
  <c r="D50" i="11"/>
  <c r="C50" i="11"/>
  <c r="E49" i="11"/>
  <c r="D49" i="11"/>
  <c r="C49" i="11"/>
  <c r="E48" i="11"/>
  <c r="D48" i="11"/>
  <c r="C48" i="11"/>
  <c r="E47" i="11"/>
  <c r="D47" i="11"/>
  <c r="C47" i="11"/>
  <c r="E45" i="11"/>
  <c r="D45" i="11"/>
  <c r="C45" i="11"/>
  <c r="E44" i="11"/>
  <c r="D44" i="11"/>
  <c r="C44" i="11"/>
  <c r="E43" i="11"/>
  <c r="D43" i="11"/>
  <c r="C43" i="11"/>
  <c r="E42" i="11"/>
  <c r="D42" i="11"/>
  <c r="C42" i="11"/>
  <c r="E41" i="11"/>
  <c r="D41" i="11"/>
  <c r="C41" i="11"/>
  <c r="E40" i="11"/>
  <c r="D40" i="11"/>
  <c r="C40" i="11"/>
  <c r="E39" i="11"/>
  <c r="D39" i="11"/>
  <c r="C39" i="11"/>
  <c r="E38" i="11"/>
  <c r="D38" i="11"/>
  <c r="C38" i="11"/>
  <c r="E37" i="11"/>
  <c r="D37" i="11"/>
  <c r="C37" i="11"/>
  <c r="E36" i="11"/>
  <c r="D36" i="11"/>
  <c r="C36" i="11"/>
  <c r="E35" i="11"/>
  <c r="D35" i="11"/>
  <c r="C35" i="11"/>
  <c r="E34" i="11"/>
  <c r="D34" i="11"/>
  <c r="C34" i="11"/>
  <c r="E32" i="11"/>
  <c r="D32" i="11"/>
  <c r="C32" i="11"/>
  <c r="E31" i="11"/>
  <c r="D31" i="11"/>
  <c r="C31" i="11"/>
  <c r="E30" i="11"/>
  <c r="D30" i="11"/>
  <c r="C30" i="11"/>
  <c r="E29" i="11"/>
  <c r="D29" i="11"/>
  <c r="C29" i="11"/>
  <c r="E28" i="11"/>
  <c r="D28" i="11"/>
  <c r="C28" i="11"/>
  <c r="E27" i="11"/>
  <c r="D27" i="11"/>
  <c r="C27" i="11"/>
  <c r="E26" i="11"/>
  <c r="D26" i="11"/>
  <c r="C26" i="11"/>
  <c r="E25" i="11"/>
  <c r="D25" i="11"/>
  <c r="C25" i="11"/>
  <c r="E24" i="11"/>
  <c r="D24" i="11"/>
  <c r="C24" i="11"/>
  <c r="E23" i="11"/>
  <c r="D23" i="11"/>
  <c r="C23" i="11"/>
  <c r="E22" i="11"/>
  <c r="D22" i="11"/>
  <c r="C22" i="11"/>
  <c r="E21" i="11"/>
  <c r="D21" i="11"/>
  <c r="C21" i="11"/>
  <c r="E20" i="11"/>
  <c r="D20" i="11"/>
  <c r="C20" i="11"/>
  <c r="E19" i="11"/>
  <c r="D19" i="11"/>
  <c r="C19" i="11"/>
  <c r="E18" i="11"/>
  <c r="D18" i="11"/>
  <c r="C18" i="11"/>
  <c r="E17" i="11"/>
  <c r="D17" i="11"/>
  <c r="C17" i="11"/>
  <c r="E16" i="11"/>
  <c r="D16" i="11"/>
  <c r="C16" i="11"/>
  <c r="E15" i="11"/>
  <c r="D15" i="11"/>
  <c r="C15" i="11"/>
  <c r="E14" i="11"/>
  <c r="D14" i="11"/>
  <c r="C14" i="11"/>
  <c r="E13" i="11"/>
  <c r="D13" i="11"/>
  <c r="C13" i="11"/>
  <c r="E12" i="11"/>
  <c r="D12" i="11"/>
  <c r="C12" i="11"/>
  <c r="E11" i="11"/>
  <c r="D11" i="11"/>
  <c r="C11" i="11"/>
  <c r="E10" i="11"/>
  <c r="D10" i="11"/>
  <c r="C10" i="11"/>
  <c r="E9" i="11"/>
  <c r="D9" i="11"/>
  <c r="C9" i="11"/>
  <c r="E8" i="11"/>
  <c r="D8" i="11"/>
  <c r="C8" i="11"/>
  <c r="E7" i="11"/>
  <c r="D7" i="11"/>
  <c r="C7" i="11"/>
  <c r="E6" i="11"/>
  <c r="D6" i="11"/>
  <c r="C6" i="11"/>
  <c r="E5" i="11"/>
  <c r="D5" i="11"/>
  <c r="C5" i="11"/>
  <c r="E4" i="11"/>
  <c r="D4" i="11"/>
  <c r="C4" i="11"/>
  <c r="E3" i="11"/>
  <c r="D3" i="11"/>
  <c r="C3" i="11"/>
  <c r="E2" i="11"/>
  <c r="D2" i="11"/>
  <c r="C2" i="11"/>
  <c r="E179" i="10"/>
  <c r="D179" i="10"/>
  <c r="C179" i="10"/>
  <c r="E178" i="10"/>
  <c r="D178" i="10"/>
  <c r="C178" i="10"/>
  <c r="E176" i="10"/>
  <c r="D176" i="10"/>
  <c r="C176" i="10"/>
  <c r="E175" i="10"/>
  <c r="D175" i="10"/>
  <c r="C175" i="10"/>
  <c r="E174" i="10"/>
  <c r="D174" i="10"/>
  <c r="C174" i="10"/>
  <c r="E173" i="10"/>
  <c r="D173" i="10"/>
  <c r="C173" i="10"/>
  <c r="E172" i="10"/>
  <c r="D172" i="10"/>
  <c r="C172" i="10"/>
  <c r="E169" i="10"/>
  <c r="D169" i="10"/>
  <c r="C169" i="10"/>
  <c r="E168" i="10"/>
  <c r="D168" i="10"/>
  <c r="C168" i="10"/>
  <c r="E167" i="10"/>
  <c r="D167" i="10"/>
  <c r="C167" i="10"/>
  <c r="E166" i="10"/>
  <c r="D166" i="10"/>
  <c r="C166" i="10"/>
  <c r="E165" i="10"/>
  <c r="D165" i="10"/>
  <c r="C165" i="10"/>
  <c r="E164" i="10"/>
  <c r="D164" i="10"/>
  <c r="C164" i="10"/>
  <c r="E162" i="10"/>
  <c r="D162" i="10"/>
  <c r="C162" i="10"/>
  <c r="E161" i="10"/>
  <c r="D161" i="10"/>
  <c r="C161" i="10"/>
  <c r="E160" i="10"/>
  <c r="D160" i="10"/>
  <c r="C160" i="10"/>
  <c r="E159" i="10"/>
  <c r="D159" i="10"/>
  <c r="C159" i="10"/>
  <c r="E158" i="10"/>
  <c r="D158" i="10"/>
  <c r="C158" i="10"/>
  <c r="E157" i="10"/>
  <c r="D157" i="10"/>
  <c r="C157" i="10"/>
  <c r="E155" i="10"/>
  <c r="D155" i="10"/>
  <c r="C155" i="10"/>
  <c r="E153" i="10"/>
  <c r="D153" i="10"/>
  <c r="C153" i="10"/>
  <c r="E152" i="10"/>
  <c r="D152" i="10"/>
  <c r="C152" i="10"/>
  <c r="E151" i="10"/>
  <c r="D151" i="10"/>
  <c r="C151" i="10"/>
  <c r="E150" i="10"/>
  <c r="D150" i="10"/>
  <c r="C150" i="10"/>
  <c r="E149" i="10"/>
  <c r="D149" i="10"/>
  <c r="C149" i="10"/>
  <c r="E148" i="10"/>
  <c r="D148" i="10"/>
  <c r="C148" i="10"/>
  <c r="E147" i="10"/>
  <c r="D147" i="10"/>
  <c r="C147" i="10"/>
  <c r="E146" i="10"/>
  <c r="D146" i="10"/>
  <c r="C146" i="10"/>
  <c r="E145" i="10"/>
  <c r="D145" i="10"/>
  <c r="C145" i="10"/>
  <c r="E144" i="10"/>
  <c r="D144" i="10"/>
  <c r="C144" i="10"/>
  <c r="E143" i="10"/>
  <c r="D143" i="10"/>
  <c r="C143" i="10"/>
  <c r="E142" i="10"/>
  <c r="D142" i="10"/>
  <c r="C142" i="10"/>
  <c r="E141" i="10"/>
  <c r="D141" i="10"/>
  <c r="C141" i="10"/>
  <c r="E140" i="10"/>
  <c r="D140" i="10"/>
  <c r="C140" i="10"/>
  <c r="E139" i="10"/>
  <c r="D139" i="10"/>
  <c r="C139" i="10"/>
  <c r="E138" i="10"/>
  <c r="D138" i="10"/>
  <c r="C138" i="10"/>
  <c r="E137" i="10"/>
  <c r="D137" i="10"/>
  <c r="C137" i="10"/>
  <c r="E136" i="10"/>
  <c r="D136" i="10"/>
  <c r="C136" i="10"/>
  <c r="E135" i="10"/>
  <c r="D135" i="10"/>
  <c r="C135" i="10"/>
  <c r="E134" i="10"/>
  <c r="D134" i="10"/>
  <c r="C134" i="10"/>
  <c r="E133" i="10"/>
  <c r="D133" i="10"/>
  <c r="C133" i="10"/>
  <c r="E132" i="10"/>
  <c r="D132" i="10"/>
  <c r="C132" i="10"/>
  <c r="E131" i="10"/>
  <c r="D131" i="10"/>
  <c r="C131" i="10"/>
  <c r="E130" i="10"/>
  <c r="D130" i="10"/>
  <c r="C130" i="10"/>
  <c r="E129" i="10"/>
  <c r="D129" i="10"/>
  <c r="C129" i="10"/>
  <c r="E128" i="10"/>
  <c r="D128" i="10"/>
  <c r="C128" i="10"/>
  <c r="E127" i="10"/>
  <c r="D127" i="10"/>
  <c r="C127" i="10"/>
  <c r="E126" i="10"/>
  <c r="D126" i="10"/>
  <c r="C126" i="10"/>
  <c r="E125" i="10"/>
  <c r="D125" i="10"/>
  <c r="C125" i="10"/>
  <c r="E124" i="10"/>
  <c r="D124" i="10"/>
  <c r="C124" i="10"/>
  <c r="E123" i="10"/>
  <c r="D123" i="10"/>
  <c r="C123" i="10"/>
  <c r="E122" i="10"/>
  <c r="D122" i="10"/>
  <c r="C122" i="10"/>
  <c r="E121" i="10"/>
  <c r="D121" i="10"/>
  <c r="C121" i="10"/>
  <c r="E120" i="10"/>
  <c r="D120" i="10"/>
  <c r="C120" i="10"/>
  <c r="E119" i="10"/>
  <c r="D119" i="10"/>
  <c r="C119" i="10"/>
  <c r="E118" i="10"/>
  <c r="D118" i="10"/>
  <c r="C118" i="10"/>
  <c r="E117" i="10"/>
  <c r="D117" i="10"/>
  <c r="C117" i="10"/>
  <c r="E116" i="10"/>
  <c r="D116" i="10"/>
  <c r="C116" i="10"/>
  <c r="E115" i="10"/>
  <c r="D115" i="10"/>
  <c r="C115" i="10"/>
  <c r="E114" i="10"/>
  <c r="D114" i="10"/>
  <c r="C114" i="10"/>
  <c r="E113" i="10"/>
  <c r="D113" i="10"/>
  <c r="C113" i="10"/>
  <c r="E111" i="10"/>
  <c r="D111" i="10"/>
  <c r="C111" i="10"/>
  <c r="E110" i="10"/>
  <c r="D110" i="10"/>
  <c r="C110" i="10"/>
  <c r="E109" i="10"/>
  <c r="D109" i="10"/>
  <c r="C109" i="10"/>
  <c r="E107" i="10"/>
  <c r="D107" i="10"/>
  <c r="C107" i="10"/>
  <c r="E106" i="10"/>
  <c r="D106" i="10"/>
  <c r="C106" i="10"/>
  <c r="E105" i="10"/>
  <c r="D105" i="10"/>
  <c r="C105" i="10"/>
  <c r="E104" i="10"/>
  <c r="D104" i="10"/>
  <c r="C104" i="10"/>
  <c r="E103" i="10"/>
  <c r="D103" i="10"/>
  <c r="C103" i="10"/>
  <c r="E102" i="10"/>
  <c r="D102" i="10"/>
  <c r="C102" i="10"/>
  <c r="E101" i="10"/>
  <c r="D101" i="10"/>
  <c r="C101" i="10"/>
  <c r="E100" i="10"/>
  <c r="D100" i="10"/>
  <c r="C100" i="10"/>
  <c r="E99" i="10"/>
  <c r="D99" i="10"/>
  <c r="C99" i="10"/>
  <c r="E98" i="10"/>
  <c r="D98" i="10"/>
  <c r="C98" i="10"/>
  <c r="E97" i="10"/>
  <c r="D97" i="10"/>
  <c r="C97" i="10"/>
  <c r="E96" i="10"/>
  <c r="D96" i="10"/>
  <c r="C96" i="10"/>
  <c r="E95" i="10"/>
  <c r="D95" i="10"/>
  <c r="C95" i="10"/>
  <c r="E94" i="10"/>
  <c r="D94" i="10"/>
  <c r="C94" i="10"/>
  <c r="E93" i="10"/>
  <c r="D93" i="10"/>
  <c r="C93" i="10"/>
  <c r="E92" i="10"/>
  <c r="D92" i="10"/>
  <c r="C92" i="10"/>
  <c r="E91" i="10"/>
  <c r="D91" i="10"/>
  <c r="C91" i="10"/>
  <c r="E90" i="10"/>
  <c r="D90" i="10"/>
  <c r="C90" i="10"/>
  <c r="E89" i="10"/>
  <c r="D89" i="10"/>
  <c r="C89" i="10"/>
  <c r="E87" i="10"/>
  <c r="D87" i="10"/>
  <c r="C87" i="10"/>
  <c r="E86" i="10"/>
  <c r="D86" i="10"/>
  <c r="C86" i="10"/>
  <c r="E85" i="10"/>
  <c r="D85" i="10"/>
  <c r="C85" i="10"/>
  <c r="E84" i="10"/>
  <c r="D84" i="10"/>
  <c r="C84" i="10"/>
  <c r="E82" i="10"/>
  <c r="D82" i="10"/>
  <c r="C82" i="10"/>
  <c r="E81" i="10"/>
  <c r="D81" i="10"/>
  <c r="C81" i="10"/>
  <c r="E80" i="10"/>
  <c r="D80" i="10"/>
  <c r="C80" i="10"/>
  <c r="E79" i="10"/>
  <c r="D79" i="10"/>
  <c r="C79" i="10"/>
  <c r="E78" i="10"/>
  <c r="D78" i="10"/>
  <c r="C78" i="10"/>
  <c r="E77" i="10"/>
  <c r="D77" i="10"/>
  <c r="C77" i="10"/>
  <c r="E76" i="10"/>
  <c r="D76" i="10"/>
  <c r="C76" i="10"/>
  <c r="E75" i="10"/>
  <c r="D75" i="10"/>
  <c r="C75" i="10"/>
  <c r="E74" i="10"/>
  <c r="D74" i="10"/>
  <c r="C74" i="10"/>
  <c r="E73" i="10"/>
  <c r="D73" i="10"/>
  <c r="C73" i="10"/>
  <c r="E72" i="10"/>
  <c r="D72" i="10"/>
  <c r="C72" i="10"/>
  <c r="E71" i="10"/>
  <c r="D71" i="10"/>
  <c r="C71" i="10"/>
  <c r="E70" i="10"/>
  <c r="D70" i="10"/>
  <c r="C70" i="10"/>
  <c r="E69" i="10"/>
  <c r="D69" i="10"/>
  <c r="C69" i="10"/>
  <c r="E68" i="10"/>
  <c r="D68" i="10"/>
  <c r="C68" i="10"/>
  <c r="E67" i="10"/>
  <c r="D67" i="10"/>
  <c r="C67" i="10"/>
  <c r="E66" i="10"/>
  <c r="D66" i="10"/>
  <c r="C66" i="10"/>
  <c r="E65" i="10"/>
  <c r="D65" i="10"/>
  <c r="C65" i="10"/>
  <c r="D64" i="10"/>
  <c r="C64" i="10"/>
  <c r="E63" i="10"/>
  <c r="D63" i="10"/>
  <c r="C63" i="10"/>
  <c r="E62" i="10"/>
  <c r="D62" i="10"/>
  <c r="C62" i="10"/>
  <c r="E61" i="10"/>
  <c r="D61" i="10"/>
  <c r="C61" i="10"/>
  <c r="E60" i="10"/>
  <c r="D60" i="10"/>
  <c r="C60" i="10"/>
  <c r="E59" i="10"/>
  <c r="D59" i="10"/>
  <c r="C59" i="10"/>
  <c r="E58" i="10"/>
  <c r="D58" i="10"/>
  <c r="C58" i="10"/>
  <c r="E57" i="10"/>
  <c r="D57" i="10"/>
  <c r="C57" i="10"/>
  <c r="E56" i="10"/>
  <c r="D56" i="10"/>
  <c r="C56" i="10"/>
  <c r="D55" i="10"/>
  <c r="C55" i="10"/>
  <c r="E54" i="10"/>
  <c r="D54" i="10"/>
  <c r="C54" i="10"/>
  <c r="E53" i="10"/>
  <c r="D53" i="10"/>
  <c r="C53" i="10"/>
  <c r="E52" i="10"/>
  <c r="D52" i="10"/>
  <c r="C52" i="10"/>
  <c r="E51" i="10"/>
  <c r="D51" i="10"/>
  <c r="C51" i="10"/>
  <c r="E50" i="10"/>
  <c r="D50" i="10"/>
  <c r="C50" i="10"/>
  <c r="E49" i="10"/>
  <c r="D49" i="10"/>
  <c r="C49" i="10"/>
  <c r="E48" i="10"/>
  <c r="D48" i="10"/>
  <c r="C48" i="10"/>
  <c r="E47" i="10"/>
  <c r="D47" i="10"/>
  <c r="C47" i="10"/>
  <c r="E45" i="10"/>
  <c r="D45" i="10"/>
  <c r="C45" i="10"/>
  <c r="E44" i="10"/>
  <c r="D44" i="10"/>
  <c r="C44" i="10"/>
  <c r="E43" i="10"/>
  <c r="D43" i="10"/>
  <c r="C43" i="10"/>
  <c r="E42" i="10"/>
  <c r="D42" i="10"/>
  <c r="C42" i="10"/>
  <c r="E41" i="10"/>
  <c r="D41" i="10"/>
  <c r="C41" i="10"/>
  <c r="E40" i="10"/>
  <c r="D40" i="10"/>
  <c r="C40" i="10"/>
  <c r="E39" i="10"/>
  <c r="D39" i="10"/>
  <c r="C39" i="10"/>
  <c r="E38" i="10"/>
  <c r="D38" i="10"/>
  <c r="C38" i="10"/>
  <c r="E37" i="10"/>
  <c r="D37" i="10"/>
  <c r="C37" i="10"/>
  <c r="E36" i="10"/>
  <c r="D36" i="10"/>
  <c r="C36" i="10"/>
  <c r="E35" i="10"/>
  <c r="D35" i="10"/>
  <c r="C35" i="10"/>
  <c r="E34" i="10"/>
  <c r="D34" i="10"/>
  <c r="C34"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7" i="10"/>
  <c r="D17" i="10"/>
  <c r="C17" i="10"/>
  <c r="E16" i="10"/>
  <c r="D16" i="10"/>
  <c r="C16" i="10"/>
  <c r="E15" i="10"/>
  <c r="D15" i="10"/>
  <c r="C15" i="10"/>
  <c r="E14" i="10"/>
  <c r="D14" i="10"/>
  <c r="C14" i="10"/>
  <c r="E55" i="10" l="1"/>
  <c r="E64" i="10"/>
  <c r="C33" i="11"/>
  <c r="D33" i="11"/>
  <c r="E33" i="11"/>
  <c r="C46" i="11"/>
  <c r="D46" i="11"/>
  <c r="E46" i="11"/>
  <c r="C55" i="11"/>
  <c r="D55" i="11"/>
  <c r="E55" i="11"/>
  <c r="C64" i="11"/>
  <c r="D64" i="11"/>
  <c r="E64" i="11"/>
  <c r="E33" i="10"/>
  <c r="C46" i="10"/>
  <c r="D46" i="10"/>
  <c r="E46" i="10"/>
  <c r="C33" i="10"/>
  <c r="D33" i="10"/>
  <c r="E13" i="10"/>
  <c r="D13" i="10"/>
  <c r="C13" i="10" l="1"/>
  <c r="E12" i="10"/>
  <c r="D12" i="10"/>
  <c r="D11" i="10"/>
  <c r="C12" i="10"/>
  <c r="E11" i="10"/>
  <c r="C11" i="10"/>
  <c r="E10" i="10"/>
  <c r="D10" i="10"/>
  <c r="C10" i="10"/>
  <c r="E9" i="10"/>
  <c r="D9" i="10"/>
  <c r="C9" i="10"/>
  <c r="C8" i="10"/>
  <c r="E8" i="10"/>
  <c r="D8" i="10"/>
  <c r="E7" i="10"/>
  <c r="D7" i="10"/>
  <c r="C7" i="10"/>
  <c r="E6" i="10" l="1"/>
  <c r="D6" i="10"/>
  <c r="C6" i="10"/>
  <c r="E5" i="10"/>
  <c r="D5" i="10"/>
  <c r="C5" i="10"/>
  <c r="E4" i="10"/>
  <c r="D4" i="10"/>
  <c r="C4" i="10"/>
  <c r="E3" i="10"/>
  <c r="D3" i="10"/>
  <c r="C3" i="10"/>
  <c r="E2" i="10"/>
  <c r="D2" i="10"/>
  <c r="C2" i="10"/>
  <c r="F36" i="9"/>
  <c r="G36" i="9"/>
  <c r="H36" i="9"/>
  <c r="I36" i="9"/>
  <c r="J36" i="9"/>
  <c r="K36" i="9"/>
  <c r="L36" i="9"/>
  <c r="M36" i="9"/>
  <c r="N36" i="9"/>
  <c r="O36" i="9"/>
  <c r="P36" i="9"/>
  <c r="Q36" i="9"/>
  <c r="R36" i="9"/>
  <c r="S36" i="9"/>
  <c r="T36" i="9"/>
  <c r="U36" i="9"/>
  <c r="V36" i="9"/>
  <c r="W36" i="9"/>
  <c r="X36" i="9"/>
  <c r="Y36" i="9"/>
  <c r="Z36" i="9"/>
  <c r="AA36" i="9"/>
  <c r="AB36" i="9"/>
  <c r="AC36" i="9"/>
  <c r="AD36" i="9"/>
  <c r="AE36" i="9"/>
  <c r="AF36" i="9"/>
  <c r="AG36" i="9"/>
  <c r="AH36" i="9"/>
  <c r="AI36" i="9"/>
  <c r="AJ36" i="9"/>
  <c r="AK36" i="9"/>
  <c r="AL36" i="9"/>
  <c r="AM36" i="9"/>
  <c r="AN36" i="9"/>
  <c r="AO36" i="9"/>
  <c r="AP36" i="9"/>
  <c r="AQ36" i="9"/>
  <c r="AR36" i="9"/>
  <c r="AS36" i="9"/>
  <c r="AT36" i="9"/>
  <c r="AU36" i="9"/>
  <c r="AV36" i="9"/>
  <c r="AW36" i="9"/>
  <c r="AX36" i="9"/>
  <c r="AY36" i="9"/>
  <c r="AZ36" i="9"/>
  <c r="BA36" i="9"/>
  <c r="BB36" i="9"/>
  <c r="BC36" i="9"/>
  <c r="BD36" i="9"/>
  <c r="BE36" i="9"/>
  <c r="BF36" i="9"/>
  <c r="BG36" i="9"/>
  <c r="BH36" i="9"/>
  <c r="BI36" i="9"/>
  <c r="BJ36" i="9"/>
  <c r="BK36" i="9"/>
  <c r="BL36" i="9"/>
  <c r="BM36" i="9"/>
  <c r="BN36" i="9"/>
  <c r="BO36" i="9"/>
  <c r="BP36" i="9"/>
  <c r="BQ36" i="9"/>
  <c r="BR36" i="9"/>
  <c r="BS36" i="9"/>
  <c r="BT36" i="9"/>
  <c r="BU36" i="9"/>
  <c r="BV36" i="9"/>
  <c r="BW36" i="9"/>
  <c r="BX36" i="9"/>
  <c r="BY36" i="9"/>
  <c r="BZ36" i="9"/>
  <c r="CA36" i="9"/>
  <c r="CB36" i="9"/>
  <c r="CC36" i="9"/>
  <c r="CD36" i="9"/>
  <c r="CE36" i="9"/>
  <c r="CF36" i="9"/>
  <c r="CG36" i="9"/>
  <c r="CH36" i="9"/>
  <c r="CI36" i="9"/>
  <c r="CJ36" i="9"/>
  <c r="CK36" i="9"/>
  <c r="CL36" i="9"/>
  <c r="CM36" i="9"/>
  <c r="CN36" i="9"/>
  <c r="CO36" i="9"/>
  <c r="CP36" i="9"/>
  <c r="CQ36" i="9"/>
  <c r="CR36" i="9"/>
  <c r="CS36" i="9"/>
  <c r="CT36" i="9"/>
  <c r="CU36" i="9"/>
  <c r="CV36" i="9"/>
  <c r="CW36" i="9"/>
  <c r="CX36" i="9"/>
  <c r="CY36" i="9"/>
  <c r="CZ36" i="9"/>
  <c r="DA36" i="9"/>
  <c r="DB36" i="9"/>
  <c r="DC36" i="9"/>
  <c r="DD36" i="9"/>
  <c r="DE36" i="9"/>
  <c r="DF36" i="9"/>
  <c r="DG36" i="9"/>
  <c r="DH36" i="9"/>
  <c r="DI36" i="9"/>
  <c r="DJ36" i="9"/>
  <c r="DK36" i="9"/>
  <c r="DL36" i="9"/>
  <c r="DM36" i="9"/>
  <c r="DN36" i="9"/>
  <c r="DO36" i="9"/>
  <c r="DP36" i="9"/>
  <c r="DQ36" i="9"/>
  <c r="DR36" i="9"/>
  <c r="DS36" i="9"/>
  <c r="DT36" i="9"/>
  <c r="DU36" i="9"/>
  <c r="DV36" i="9"/>
  <c r="DW36" i="9"/>
  <c r="DX36" i="9"/>
  <c r="DY36" i="9"/>
  <c r="DZ36" i="9"/>
  <c r="EA36" i="9"/>
  <c r="EB36" i="9"/>
  <c r="EC36" i="9"/>
  <c r="ED36" i="9"/>
  <c r="EE36" i="9"/>
  <c r="EF36" i="9"/>
  <c r="D88" i="10" s="1"/>
  <c r="EG36" i="9"/>
  <c r="EH36" i="9"/>
  <c r="EI36" i="9"/>
  <c r="EJ36" i="9"/>
  <c r="EK36" i="9"/>
  <c r="EL36" i="9"/>
  <c r="EM36" i="9"/>
  <c r="EN36" i="9"/>
  <c r="EO36" i="9"/>
  <c r="EP36" i="9"/>
  <c r="EQ36" i="9"/>
  <c r="ER36" i="9"/>
  <c r="ES36" i="9"/>
  <c r="ET36" i="9"/>
  <c r="EU36" i="9"/>
  <c r="EV36" i="9"/>
  <c r="EW36" i="9"/>
  <c r="EX36" i="9"/>
  <c r="EY36" i="9"/>
  <c r="EZ36" i="9"/>
  <c r="FA36" i="9"/>
  <c r="FB36" i="9"/>
  <c r="FC36" i="9"/>
  <c r="FD36" i="9"/>
  <c r="D112" i="10" s="1"/>
  <c r="FE36" i="9"/>
  <c r="FF36" i="9"/>
  <c r="FG36" i="9"/>
  <c r="FH36" i="9"/>
  <c r="FI36" i="9"/>
  <c r="FJ36" i="9"/>
  <c r="FK36" i="9"/>
  <c r="FL36" i="9"/>
  <c r="FM36" i="9"/>
  <c r="FN36" i="9"/>
  <c r="FO36" i="9"/>
  <c r="FP36" i="9"/>
  <c r="FQ36" i="9"/>
  <c r="FR36" i="9"/>
  <c r="FS36" i="9"/>
  <c r="FT36" i="9"/>
  <c r="FU36" i="9"/>
  <c r="FV36" i="9"/>
  <c r="FW36" i="9"/>
  <c r="FX36" i="9"/>
  <c r="FY36" i="9"/>
  <c r="FZ36" i="9"/>
  <c r="GA36" i="9"/>
  <c r="GB36" i="9"/>
  <c r="GC36" i="9"/>
  <c r="GD36" i="9"/>
  <c r="GE36" i="9"/>
  <c r="GF36" i="9"/>
  <c r="GG36" i="9"/>
  <c r="GH36" i="9"/>
  <c r="GI36" i="9"/>
  <c r="GJ36" i="9"/>
  <c r="GK36" i="9"/>
  <c r="GL36" i="9"/>
  <c r="GM36" i="9"/>
  <c r="GN36" i="9"/>
  <c r="GO36" i="9"/>
  <c r="GP36" i="9"/>
  <c r="GQ36" i="9"/>
  <c r="GR36" i="9"/>
  <c r="GS36" i="9"/>
  <c r="GT36" i="9"/>
  <c r="GU36" i="9"/>
  <c r="GV36" i="9"/>
  <c r="GW36" i="9"/>
  <c r="GX36" i="9"/>
  <c r="GY36" i="9"/>
  <c r="GZ36" i="9"/>
  <c r="HA36" i="9"/>
  <c r="HB36" i="9"/>
  <c r="HC36" i="9"/>
  <c r="HD36" i="9"/>
  <c r="HE36" i="9"/>
  <c r="HF36" i="9"/>
  <c r="HG36" i="9"/>
  <c r="HH36" i="9"/>
  <c r="HI36" i="9"/>
  <c r="HJ36" i="9"/>
  <c r="HK36" i="9"/>
  <c r="HL36" i="9"/>
  <c r="HM36" i="9"/>
  <c r="HN36" i="9"/>
  <c r="HO36" i="9"/>
  <c r="HP36" i="9"/>
  <c r="HQ36" i="9"/>
  <c r="HR36" i="9"/>
  <c r="HS36" i="9"/>
  <c r="HT36" i="9"/>
  <c r="HU36" i="9"/>
  <c r="HV36" i="9"/>
  <c r="HW36" i="9"/>
  <c r="HX36" i="9"/>
  <c r="HY36" i="9"/>
  <c r="HZ36" i="9"/>
  <c r="IA36" i="9"/>
  <c r="IB36" i="9"/>
  <c r="IC36" i="9"/>
  <c r="ID36" i="9"/>
  <c r="IE36" i="9"/>
  <c r="IF36" i="9"/>
  <c r="IG36" i="9"/>
  <c r="IH36" i="9"/>
  <c r="II36" i="9"/>
  <c r="D154" i="10" s="1"/>
  <c r="IJ36" i="9"/>
  <c r="IK36" i="9"/>
  <c r="D156" i="10" s="1"/>
  <c r="IL36" i="9"/>
  <c r="IM36" i="9"/>
  <c r="IN36" i="9"/>
  <c r="IO36" i="9"/>
  <c r="IP36" i="9"/>
  <c r="IQ36" i="9"/>
  <c r="IR36" i="9"/>
  <c r="D163" i="10" s="1"/>
  <c r="IS36" i="9"/>
  <c r="IT36" i="9"/>
  <c r="IU36" i="9"/>
  <c r="IV36" i="9"/>
  <c r="IW36" i="9"/>
  <c r="IX36" i="9"/>
  <c r="IY36" i="9"/>
  <c r="D170" i="10" s="1"/>
  <c r="IZ36" i="9"/>
  <c r="D171" i="10" s="1"/>
  <c r="JA36" i="9"/>
  <c r="JB36" i="9"/>
  <c r="JC36" i="9"/>
  <c r="JD36" i="9"/>
  <c r="JE36" i="9"/>
  <c r="JF36" i="9"/>
  <c r="D177" i="10" s="1"/>
  <c r="JG36" i="9"/>
  <c r="JH36" i="9"/>
  <c r="JI36" i="9"/>
  <c r="JJ36" i="9"/>
  <c r="JK36" i="9"/>
  <c r="JL36" i="9"/>
  <c r="JM36" i="9"/>
  <c r="JN36" i="9"/>
  <c r="JO36" i="9"/>
  <c r="JP36" i="9"/>
  <c r="JQ36" i="9"/>
  <c r="JR36" i="9"/>
  <c r="JS36" i="9"/>
  <c r="JT36" i="9"/>
  <c r="JU36" i="9"/>
  <c r="JV36" i="9"/>
  <c r="JW36" i="9"/>
  <c r="JX36" i="9"/>
  <c r="JY36" i="9"/>
  <c r="JZ36" i="9"/>
  <c r="KA36" i="9"/>
  <c r="KB36" i="9"/>
  <c r="E88" i="10"/>
  <c r="E112" i="10"/>
  <c r="E154" i="10"/>
  <c r="E156" i="10"/>
  <c r="E163" i="10"/>
  <c r="E170" i="10"/>
  <c r="E171" i="10"/>
  <c r="E177" i="10"/>
  <c r="E36" i="9"/>
  <c r="D36" i="9"/>
  <c r="C36"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AF35" i="9"/>
  <c r="AG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L35" i="9"/>
  <c r="BM35" i="9"/>
  <c r="BN35" i="9"/>
  <c r="BO35" i="9"/>
  <c r="BP35" i="9"/>
  <c r="BQ35" i="9"/>
  <c r="BR35" i="9"/>
  <c r="BS35" i="9"/>
  <c r="BT35" i="9"/>
  <c r="BU35" i="9"/>
  <c r="BV35" i="9"/>
  <c r="BW35" i="9"/>
  <c r="BX35" i="9"/>
  <c r="BY35" i="9"/>
  <c r="BZ35" i="9"/>
  <c r="CA35" i="9"/>
  <c r="CB35" i="9"/>
  <c r="CC35" i="9"/>
  <c r="CD35" i="9"/>
  <c r="CE35" i="9"/>
  <c r="CF35" i="9"/>
  <c r="CG35" i="9"/>
  <c r="CH35" i="9"/>
  <c r="CI35" i="9"/>
  <c r="CJ35" i="9"/>
  <c r="CK35" i="9"/>
  <c r="CL35" i="9"/>
  <c r="CM35" i="9"/>
  <c r="CN35" i="9"/>
  <c r="CO35" i="9"/>
  <c r="CP35" i="9"/>
  <c r="CQ35" i="9"/>
  <c r="CR35" i="9"/>
  <c r="CS35" i="9"/>
  <c r="CT35" i="9"/>
  <c r="CU35" i="9"/>
  <c r="CV35" i="9"/>
  <c r="CW35" i="9"/>
  <c r="CX35" i="9"/>
  <c r="CY35" i="9"/>
  <c r="CZ35" i="9"/>
  <c r="DA35" i="9"/>
  <c r="DB35" i="9"/>
  <c r="DC35" i="9"/>
  <c r="DD35" i="9"/>
  <c r="DE35" i="9"/>
  <c r="DF35" i="9"/>
  <c r="DG35" i="9"/>
  <c r="DH35" i="9"/>
  <c r="DI35" i="9"/>
  <c r="DJ35" i="9"/>
  <c r="DK35" i="9"/>
  <c r="DL35" i="9"/>
  <c r="DM35" i="9"/>
  <c r="DN35" i="9"/>
  <c r="DO35" i="9"/>
  <c r="DP35" i="9"/>
  <c r="DQ35" i="9"/>
  <c r="DR35" i="9"/>
  <c r="DS35" i="9"/>
  <c r="DT35" i="9"/>
  <c r="DU35" i="9"/>
  <c r="DV35" i="9"/>
  <c r="DW35" i="9"/>
  <c r="DX35" i="9"/>
  <c r="DY35" i="9"/>
  <c r="DZ35" i="9"/>
  <c r="EA35" i="9"/>
  <c r="EB35" i="9"/>
  <c r="EC35" i="9"/>
  <c r="ED35" i="9"/>
  <c r="EE35" i="9"/>
  <c r="EF35" i="9"/>
  <c r="C88" i="10" s="1"/>
  <c r="EG35" i="9"/>
  <c r="EH35" i="9"/>
  <c r="EI35" i="9"/>
  <c r="EJ35" i="9"/>
  <c r="EK35" i="9"/>
  <c r="EL35" i="9"/>
  <c r="EM35" i="9"/>
  <c r="EN35" i="9"/>
  <c r="EO35" i="9"/>
  <c r="EP35" i="9"/>
  <c r="EQ35" i="9"/>
  <c r="ER35" i="9"/>
  <c r="ES35" i="9"/>
  <c r="ET35" i="9"/>
  <c r="EU35" i="9"/>
  <c r="EV35" i="9"/>
  <c r="EW35" i="9"/>
  <c r="EX35" i="9"/>
  <c r="EY35" i="9"/>
  <c r="EZ35" i="9"/>
  <c r="FA35" i="9"/>
  <c r="FB35" i="9"/>
  <c r="FC35" i="9"/>
  <c r="FD35" i="9"/>
  <c r="C112" i="10" s="1"/>
  <c r="FE35" i="9"/>
  <c r="FF35" i="9"/>
  <c r="FG35" i="9"/>
  <c r="FH35" i="9"/>
  <c r="FI35" i="9"/>
  <c r="FJ35" i="9"/>
  <c r="FK35" i="9"/>
  <c r="FL35" i="9"/>
  <c r="FM35" i="9"/>
  <c r="FN35" i="9"/>
  <c r="FO35" i="9"/>
  <c r="FP35" i="9"/>
  <c r="FQ35" i="9"/>
  <c r="FR35" i="9"/>
  <c r="FS35" i="9"/>
  <c r="FT35" i="9"/>
  <c r="FU35" i="9"/>
  <c r="FV35" i="9"/>
  <c r="FW35" i="9"/>
  <c r="FX35" i="9"/>
  <c r="FY35" i="9"/>
  <c r="FZ35" i="9"/>
  <c r="GA35" i="9"/>
  <c r="GB35" i="9"/>
  <c r="GC35" i="9"/>
  <c r="GD35" i="9"/>
  <c r="GE35" i="9"/>
  <c r="GF35" i="9"/>
  <c r="GG35" i="9"/>
  <c r="GH35" i="9"/>
  <c r="GI35" i="9"/>
  <c r="GJ35" i="9"/>
  <c r="GK35" i="9"/>
  <c r="GL35" i="9"/>
  <c r="GM35" i="9"/>
  <c r="GN35" i="9"/>
  <c r="GO35" i="9"/>
  <c r="GP35" i="9"/>
  <c r="GQ35" i="9"/>
  <c r="GR35" i="9"/>
  <c r="GS35" i="9"/>
  <c r="GT35" i="9"/>
  <c r="GU35" i="9"/>
  <c r="GV35" i="9"/>
  <c r="GW35" i="9"/>
  <c r="GX35" i="9"/>
  <c r="GY35" i="9"/>
  <c r="GZ35" i="9"/>
  <c r="HA35" i="9"/>
  <c r="HB35" i="9"/>
  <c r="HC35" i="9"/>
  <c r="HD35" i="9"/>
  <c r="HE35" i="9"/>
  <c r="HF35" i="9"/>
  <c r="HG35" i="9"/>
  <c r="HH35" i="9"/>
  <c r="HI35" i="9"/>
  <c r="HJ35" i="9"/>
  <c r="HK35" i="9"/>
  <c r="HL35" i="9"/>
  <c r="HM35" i="9"/>
  <c r="HN35" i="9"/>
  <c r="HO35" i="9"/>
  <c r="HP35" i="9"/>
  <c r="HQ35" i="9"/>
  <c r="HR35" i="9"/>
  <c r="HS35" i="9"/>
  <c r="HT35" i="9"/>
  <c r="HU35" i="9"/>
  <c r="HV35" i="9"/>
  <c r="HW35" i="9"/>
  <c r="HX35" i="9"/>
  <c r="HY35" i="9"/>
  <c r="HZ35" i="9"/>
  <c r="IA35" i="9"/>
  <c r="IB35" i="9"/>
  <c r="IC35" i="9"/>
  <c r="ID35" i="9"/>
  <c r="IE35" i="9"/>
  <c r="IF35" i="9"/>
  <c r="IG35" i="9"/>
  <c r="IH35" i="9"/>
  <c r="II35" i="9"/>
  <c r="C154" i="10" s="1"/>
  <c r="IJ35" i="9"/>
  <c r="IK35" i="9"/>
  <c r="C156" i="10" s="1"/>
  <c r="IL35" i="9"/>
  <c r="IM35" i="9"/>
  <c r="IN35" i="9"/>
  <c r="IO35" i="9"/>
  <c r="IP35" i="9"/>
  <c r="IQ35" i="9"/>
  <c r="IR35" i="9"/>
  <c r="C163" i="10" s="1"/>
  <c r="IS35" i="9"/>
  <c r="IT35" i="9"/>
  <c r="IU35" i="9"/>
  <c r="IV35" i="9"/>
  <c r="IW35" i="9"/>
  <c r="IX35" i="9"/>
  <c r="IY35" i="9"/>
  <c r="C170" i="10" s="1"/>
  <c r="IZ35" i="9"/>
  <c r="C171" i="10" s="1"/>
  <c r="JA35" i="9"/>
  <c r="JB35" i="9"/>
  <c r="JC35" i="9"/>
  <c r="JD35" i="9"/>
  <c r="JE35" i="9"/>
  <c r="JF35" i="9"/>
  <c r="C177" i="10" s="1"/>
  <c r="JG35" i="9"/>
  <c r="JH35" i="9"/>
  <c r="JI35" i="9"/>
  <c r="JJ35" i="9"/>
  <c r="JK35" i="9"/>
  <c r="JL35" i="9"/>
  <c r="JM35" i="9"/>
  <c r="JN35" i="9"/>
  <c r="JO35" i="9"/>
  <c r="JP35" i="9"/>
  <c r="JQ35" i="9"/>
  <c r="JR35" i="9"/>
  <c r="JS35" i="9"/>
  <c r="JT35" i="9"/>
  <c r="JU35" i="9"/>
  <c r="JV35" i="9"/>
  <c r="JW35" i="9"/>
  <c r="JX35" i="9"/>
  <c r="JY35" i="9"/>
  <c r="JZ35" i="9"/>
  <c r="KA35" i="9"/>
  <c r="KB35" i="9"/>
  <c r="C35" i="9"/>
  <c r="C83" i="11" l="1"/>
  <c r="C83" i="10"/>
  <c r="E83" i="11"/>
  <c r="E83" i="10"/>
  <c r="D83" i="11"/>
  <c r="D83" i="10"/>
  <c r="C108" i="11"/>
  <c r="C108" i="10"/>
  <c r="E108" i="11"/>
  <c r="E108" i="10"/>
  <c r="D108" i="11"/>
  <c r="D108" i="10"/>
</calcChain>
</file>

<file path=xl/sharedStrings.xml><?xml version="1.0" encoding="utf-8"?>
<sst xmlns="http://schemas.openxmlformats.org/spreadsheetml/2006/main" count="1724" uniqueCount="133">
  <si>
    <t>pH</t>
  </si>
  <si>
    <t>TDS</t>
  </si>
  <si>
    <t>COD</t>
  </si>
  <si>
    <t>BOD</t>
  </si>
  <si>
    <t>NH4-N</t>
  </si>
  <si>
    <t>Calcium</t>
  </si>
  <si>
    <t>TH</t>
  </si>
  <si>
    <t>Turbidity</t>
  </si>
  <si>
    <t>TA</t>
  </si>
  <si>
    <t>PO4</t>
  </si>
  <si>
    <t>MLSS</t>
  </si>
  <si>
    <t>MLVSS</t>
  </si>
  <si>
    <t>TSS</t>
  </si>
  <si>
    <t>Temp.</t>
  </si>
  <si>
    <t>T-512</t>
  </si>
  <si>
    <t>T-513</t>
  </si>
  <si>
    <t>Average</t>
  </si>
  <si>
    <t>DO</t>
  </si>
  <si>
    <t>ZLD Plant (I/L)</t>
  </si>
  <si>
    <t>ASP (I/L)</t>
  </si>
  <si>
    <t>ASP - T</t>
  </si>
  <si>
    <t xml:space="preserve">SC (O/F)  </t>
  </si>
  <si>
    <t>SC (U/F)</t>
  </si>
  <si>
    <t>Ratio</t>
  </si>
  <si>
    <t>MBBR I</t>
  </si>
  <si>
    <t>MBBR II</t>
  </si>
  <si>
    <t>TS-502 (O/F)</t>
  </si>
  <si>
    <t>GSF (O/L)</t>
  </si>
  <si>
    <t>MBR (I/L)</t>
  </si>
  <si>
    <t>MBR (O/L)</t>
  </si>
  <si>
    <t>SPRO (Feed)</t>
  </si>
  <si>
    <t>SPRO (Permeate)</t>
  </si>
  <si>
    <t>HPRO (Feed)</t>
  </si>
  <si>
    <t>HPRO (Permeate)</t>
  </si>
  <si>
    <t>HPRO (Reject)</t>
  </si>
  <si>
    <t>Parameters</t>
  </si>
  <si>
    <t>Stages</t>
  </si>
  <si>
    <t>Colour</t>
  </si>
  <si>
    <t>Flow Rate</t>
  </si>
  <si>
    <t>Date</t>
  </si>
  <si>
    <t>ZLD Plant Inlet (MEE CONDENSATE)</t>
  </si>
  <si>
    <t>R-503</t>
  </si>
  <si>
    <t>Tube Settler Overflow (TS-501)</t>
  </si>
  <si>
    <t xml:space="preserve">ASP - 501 INLET </t>
  </si>
  <si>
    <t xml:space="preserve">ASP - 501 (Tank)  </t>
  </si>
  <si>
    <t xml:space="preserve">SC-501 O/F  </t>
  </si>
  <si>
    <t>SC-501 U/F</t>
  </si>
  <si>
    <t>Inside MBBR Tank-1</t>
  </si>
  <si>
    <t>Inside MBBR Tank-2</t>
  </si>
  <si>
    <t>Tube Settler Overflow (TS-502)</t>
  </si>
  <si>
    <t>Gravity Sand Filter Outlet</t>
  </si>
  <si>
    <t>T-511 Storage Tank (Without Filtration)</t>
  </si>
  <si>
    <t>T-513 Storage Tank</t>
  </si>
  <si>
    <t>SCP 501 MAP FILTRATE</t>
  </si>
  <si>
    <t>SCP-501 MAP SLUDGE</t>
  </si>
  <si>
    <t>MBR Feed</t>
  </si>
  <si>
    <t>MBR Permeate</t>
  </si>
  <si>
    <t>SPIRAL RO FEED</t>
  </si>
  <si>
    <t>SPIRAL RO PERMEATE</t>
  </si>
  <si>
    <t>SPIRAL RO REJECT</t>
  </si>
  <si>
    <t>CL 502 I/L</t>
  </si>
  <si>
    <t>CL 502 O/L</t>
  </si>
  <si>
    <t>UF FEED</t>
  </si>
  <si>
    <t>UF REJECT</t>
  </si>
  <si>
    <t>RO FEED</t>
  </si>
  <si>
    <t>RO PERMEATE</t>
  </si>
  <si>
    <t>RO Reject</t>
  </si>
  <si>
    <t>HP RO FEED</t>
  </si>
  <si>
    <t>HP RO PERMEATE</t>
  </si>
  <si>
    <t>HP RO Reject</t>
  </si>
  <si>
    <t>SLUDGE SCP 502 SAMPLE</t>
  </si>
  <si>
    <t>Filtrate SCP 502 SAMPLE</t>
  </si>
  <si>
    <t>Filtrate SCP 501 SAMPLE</t>
  </si>
  <si>
    <t>SLUDGE SCP 501 SAMPLE</t>
  </si>
  <si>
    <t>SCREW PRESS Filtrate</t>
  </si>
  <si>
    <t>EX.mg</t>
  </si>
  <si>
    <t>ex.po4</t>
  </si>
  <si>
    <t>MLVSS/MLSS Ratio</t>
  </si>
  <si>
    <t>MOISTURE</t>
  </si>
  <si>
    <t>Calorific Value</t>
  </si>
  <si>
    <t>Moisture</t>
  </si>
  <si>
    <t xml:space="preserve">pH </t>
  </si>
  <si>
    <t>Maximum</t>
  </si>
  <si>
    <t>Minimum</t>
  </si>
  <si>
    <t>UF PERMEATE</t>
  </si>
  <si>
    <t xml:space="preserve">TDS  </t>
  </si>
  <si>
    <t xml:space="preserve">COD  </t>
  </si>
  <si>
    <t xml:space="preserve">BOD   </t>
  </si>
  <si>
    <t xml:space="preserve">TSS  </t>
  </si>
  <si>
    <t xml:space="preserve">NH4-N  </t>
  </si>
  <si>
    <t xml:space="preserve">TDS   </t>
  </si>
  <si>
    <t xml:space="preserve">BOD  </t>
  </si>
  <si>
    <t xml:space="preserve">TDS  
</t>
  </si>
  <si>
    <t xml:space="preserve">DO </t>
  </si>
  <si>
    <t xml:space="preserve">MLSS  </t>
  </si>
  <si>
    <t xml:space="preserve">MLVSS  </t>
  </si>
  <si>
    <t xml:space="preserve">TA  </t>
  </si>
  <si>
    <t xml:space="preserve">TH  </t>
  </si>
  <si>
    <t xml:space="preserve">NH4-N </t>
  </si>
  <si>
    <t xml:space="preserve">TSS </t>
  </si>
  <si>
    <t xml:space="preserve">BOD </t>
  </si>
  <si>
    <t xml:space="preserve">TH </t>
  </si>
  <si>
    <t xml:space="preserve">TDS </t>
  </si>
  <si>
    <t xml:space="preserve">COD </t>
  </si>
  <si>
    <t xml:space="preserve">Temperature </t>
  </si>
  <si>
    <t xml:space="preserve">Temperature  </t>
  </si>
  <si>
    <t xml:space="preserve"> Magnesium </t>
  </si>
  <si>
    <t xml:space="preserve">Phosphate </t>
  </si>
  <si>
    <t xml:space="preserve">TA 
</t>
  </si>
  <si>
    <t xml:space="preserve">PO4 </t>
  </si>
  <si>
    <t xml:space="preserve">PO4  </t>
  </si>
  <si>
    <t xml:space="preserve">BOD  
</t>
  </si>
  <si>
    <t xml:space="preserve">NH4-N 
</t>
  </si>
  <si>
    <t xml:space="preserve">pH
 </t>
  </si>
  <si>
    <t xml:space="preserve">TDS 
 </t>
  </si>
  <si>
    <t xml:space="preserve">Turbidity  </t>
  </si>
  <si>
    <t xml:space="preserve">Turbidity </t>
  </si>
  <si>
    <t xml:space="preserve">Turbidity   </t>
  </si>
  <si>
    <t xml:space="preserve">TURBIDITY  </t>
  </si>
  <si>
    <t xml:space="preserve">TURBIDITY </t>
  </si>
  <si>
    <t xml:space="preserve">MLVSS </t>
  </si>
  <si>
    <t xml:space="preserve"> pH</t>
  </si>
  <si>
    <t xml:space="preserve">Colour  </t>
  </si>
  <si>
    <t xml:space="preserve">Colour </t>
  </si>
  <si>
    <t xml:space="preserve">Colour   </t>
  </si>
  <si>
    <t xml:space="preserve">Colour    </t>
  </si>
  <si>
    <t>Parameter</t>
  </si>
  <si>
    <t>Temperature</t>
  </si>
  <si>
    <t>ASP (T-501)</t>
  </si>
  <si>
    <t>SPRO (Reject)</t>
  </si>
  <si>
    <t>PTRO (Feed)</t>
  </si>
  <si>
    <t>PTRO (Permeate)</t>
  </si>
  <si>
    <t>PTRO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</si>
</sst>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yyyy/mm/dd;@"/>
    <numFmt numFmtId="165" formatCode="0.0"/>
    <numFmt numFmtId="166" formatCode="0.000"/>
  </numFmts>
  <fonts count="1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4"/>
      <name val="Times New Roman"/>
      <family val="1"/>
    </font>
    <font>
      <b/>
      <sz val="11"/>
      <name val="Times New Roman"/>
      <family val="1"/>
    </font>
    <font>
      <sz val="14"/>
      <name val="Times New Roman"/>
      <family val="1"/>
    </font>
    <font>
      <sz val="11"/>
      <name val="Times New Roman"/>
      <family val="1"/>
    </font>
    <font>
      <b/>
      <sz val="10"/>
      <name val="Times New Roman"/>
      <family val="1"/>
    </font>
    <font>
      <sz val="10"/>
      <color theme="1"/>
      <name val="Calibri"/>
      <family val="2"/>
      <scheme val="minor"/>
    </font>
    <font>
      <sz val="10"/>
      <name val="Times New Roman"/>
      <family val="1"/>
    </font>
    <font>
      <sz val="8"/>
      <name val="Calibri"/>
      <family val="2"/>
      <scheme val="minor"/>
    </font>
    <font>
      <sz val="12"/>
      <color theme="1"/>
      <name val="Times New Roman"/>
      <family val="1"/>
    </font>
    <font>
      <b/>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s>
  <cellStyleXfs count="3">
    <xf numFmtId="0" fontId="0" fillId="0" borderId="0"/>
    <xf numFmtId="43" fontId="3" fillId="0" borderId="0" applyFont="0" applyFill="0" applyBorder="0" applyAlignment="0" applyProtection="0">
      <alignment vertical="center"/>
    </xf>
    <xf numFmtId="9" fontId="3" fillId="0" borderId="0" applyFont="0" applyFill="0" applyBorder="0" applyAlignment="0" applyProtection="0"/>
  </cellStyleXfs>
  <cellXfs count="68">
    <xf numFmtId="0" fontId="0" fillId="0" borderId="0" xfId="0"/>
    <xf numFmtId="0" fontId="4" fillId="0" borderId="0" xfId="0" applyFont="1" applyAlignment="1">
      <alignment horizontal="center" vertical="center"/>
    </xf>
    <xf numFmtId="2" fontId="4" fillId="0" borderId="0" xfId="0" applyNumberFormat="1" applyFont="1" applyAlignment="1">
      <alignment horizontal="center" vertical="center"/>
    </xf>
    <xf numFmtId="1" fontId="4" fillId="0" borderId="0" xfId="0" applyNumberFormat="1" applyFont="1" applyAlignment="1">
      <alignment horizontal="center" vertical="center"/>
    </xf>
    <xf numFmtId="0" fontId="2" fillId="0" borderId="0" xfId="0" applyFont="1"/>
    <xf numFmtId="164" fontId="5" fillId="2" borderId="1" xfId="0" applyNumberFormat="1" applyFont="1" applyFill="1" applyBorder="1" applyAlignment="1" applyProtection="1">
      <alignment horizontal="center" vertical="center" wrapText="1"/>
      <protection locked="0"/>
    </xf>
    <xf numFmtId="164" fontId="5" fillId="2" borderId="2" xfId="0" applyNumberFormat="1" applyFont="1" applyFill="1" applyBorder="1" applyAlignment="1" applyProtection="1">
      <alignment horizontal="center" vertical="center" wrapText="1"/>
      <protection locked="0"/>
    </xf>
    <xf numFmtId="1" fontId="6" fillId="2" borderId="1" xfId="0" applyNumberFormat="1" applyFont="1" applyFill="1" applyBorder="1" applyAlignment="1" applyProtection="1">
      <alignment horizontal="center" vertical="center" wrapText="1"/>
      <protection locked="0"/>
    </xf>
    <xf numFmtId="0" fontId="0" fillId="0" borderId="1" xfId="0" applyBorder="1"/>
    <xf numFmtId="0" fontId="0" fillId="0" borderId="1" xfId="0" applyBorder="1" applyAlignment="1">
      <alignment horizontal="center"/>
    </xf>
    <xf numFmtId="2" fontId="8" fillId="2" borderId="1" xfId="0" applyNumberFormat="1" applyFont="1" applyFill="1" applyBorder="1" applyAlignment="1" applyProtection="1">
      <alignment horizontal="center" vertical="center"/>
      <protection locked="0"/>
    </xf>
    <xf numFmtId="0" fontId="1" fillId="0" borderId="1" xfId="0" applyFont="1" applyBorder="1" applyAlignment="1">
      <alignment horizontal="center"/>
    </xf>
    <xf numFmtId="0" fontId="1" fillId="0" borderId="1" xfId="0" applyFont="1" applyBorder="1"/>
    <xf numFmtId="0" fontId="0" fillId="0" borderId="3" xfId="0" applyBorder="1"/>
    <xf numFmtId="0" fontId="0" fillId="0" borderId="0" xfId="0" applyAlignment="1">
      <alignment horizontal="center"/>
    </xf>
    <xf numFmtId="164" fontId="6" fillId="2" borderId="1" xfId="0" applyNumberFormat="1" applyFont="1" applyFill="1" applyBorder="1" applyAlignment="1" applyProtection="1">
      <alignment horizontal="left" vertical="center"/>
      <protection locked="0"/>
    </xf>
    <xf numFmtId="165" fontId="1" fillId="0" borderId="1" xfId="0" applyNumberFormat="1" applyFont="1" applyBorder="1" applyAlignment="1">
      <alignment horizontal="center"/>
    </xf>
    <xf numFmtId="14" fontId="1" fillId="0" borderId="1" xfId="0" applyNumberFormat="1" applyFont="1" applyBorder="1" applyAlignment="1">
      <alignment horizontal="center"/>
    </xf>
    <xf numFmtId="0" fontId="4" fillId="0" borderId="1" xfId="0" applyFont="1" applyBorder="1" applyAlignment="1">
      <alignment horizontal="center" vertical="center"/>
    </xf>
    <xf numFmtId="2" fontId="0" fillId="3" borderId="1" xfId="0" applyNumberFormat="1" applyFill="1" applyBorder="1" applyAlignment="1">
      <alignment horizontal="center"/>
    </xf>
    <xf numFmtId="2" fontId="0" fillId="4" borderId="1" xfId="0" applyNumberFormat="1" applyFill="1" applyBorder="1" applyAlignment="1">
      <alignment horizontal="center"/>
    </xf>
    <xf numFmtId="2" fontId="8" fillId="5" borderId="1" xfId="0" applyNumberFormat="1" applyFont="1" applyFill="1" applyBorder="1" applyAlignment="1" applyProtection="1">
      <alignment horizontal="center" vertical="center"/>
      <protection locked="0"/>
    </xf>
    <xf numFmtId="0" fontId="0" fillId="5" borderId="0" xfId="0" applyFill="1"/>
    <xf numFmtId="2" fontId="8" fillId="5" borderId="1" xfId="0" applyNumberFormat="1" applyFont="1" applyFill="1" applyBorder="1" applyAlignment="1" applyProtection="1">
      <alignment vertical="center"/>
      <protection locked="0"/>
    </xf>
    <xf numFmtId="1" fontId="7" fillId="2" borderId="0" xfId="0" applyNumberFormat="1" applyFont="1" applyFill="1" applyAlignment="1" applyProtection="1">
      <alignment horizontal="center" vertical="center"/>
      <protection locked="0"/>
    </xf>
    <xf numFmtId="0" fontId="1" fillId="0" borderId="0" xfId="0" applyFont="1"/>
    <xf numFmtId="1" fontId="8" fillId="2" borderId="0" xfId="0" applyNumberFormat="1" applyFont="1" applyFill="1" applyAlignment="1" applyProtection="1">
      <alignment horizontal="center" vertical="center"/>
      <protection locked="0"/>
    </xf>
    <xf numFmtId="164" fontId="9" fillId="2" borderId="1" xfId="0" applyNumberFormat="1" applyFont="1" applyFill="1" applyBorder="1" applyAlignment="1" applyProtection="1">
      <alignment horizontal="center" vertical="center" textRotation="90" wrapText="1"/>
      <protection locked="0"/>
    </xf>
    <xf numFmtId="2" fontId="9" fillId="2" borderId="1" xfId="0" applyNumberFormat="1" applyFont="1" applyFill="1" applyBorder="1" applyAlignment="1" applyProtection="1">
      <alignment horizontal="center" vertical="center" textRotation="90" wrapText="1"/>
      <protection locked="0"/>
    </xf>
    <xf numFmtId="165" fontId="9" fillId="2" borderId="1" xfId="0" applyNumberFormat="1" applyFont="1" applyFill="1" applyBorder="1" applyAlignment="1" applyProtection="1">
      <alignment horizontal="center" vertical="center" textRotation="90" wrapText="1"/>
      <protection locked="0"/>
    </xf>
    <xf numFmtId="1" fontId="9" fillId="2" borderId="1" xfId="0" applyNumberFormat="1" applyFont="1" applyFill="1" applyBorder="1" applyAlignment="1" applyProtection="1">
      <alignment horizontal="center" vertical="center" textRotation="90" wrapText="1"/>
      <protection locked="0"/>
    </xf>
    <xf numFmtId="2" fontId="9" fillId="5" borderId="1" xfId="0" applyNumberFormat="1" applyFont="1" applyFill="1" applyBorder="1" applyAlignment="1" applyProtection="1">
      <alignment horizontal="center" vertical="center" textRotation="90" wrapText="1"/>
      <protection locked="0"/>
    </xf>
    <xf numFmtId="1" fontId="9" fillId="5" borderId="1" xfId="0" applyNumberFormat="1" applyFont="1" applyFill="1" applyBorder="1" applyAlignment="1" applyProtection="1">
      <alignment horizontal="center" vertical="center" textRotation="90" wrapText="1"/>
      <protection locked="0"/>
    </xf>
    <xf numFmtId="165" fontId="9" fillId="5" borderId="1" xfId="0" applyNumberFormat="1" applyFont="1" applyFill="1" applyBorder="1" applyAlignment="1" applyProtection="1">
      <alignment horizontal="center" vertical="center" textRotation="90" wrapText="1"/>
      <protection locked="0"/>
    </xf>
    <xf numFmtId="166" fontId="9" fillId="2" borderId="1" xfId="0" applyNumberFormat="1" applyFont="1" applyFill="1" applyBorder="1" applyAlignment="1" applyProtection="1">
      <alignment horizontal="center" vertical="center" textRotation="90" wrapText="1"/>
      <protection locked="0"/>
    </xf>
    <xf numFmtId="0" fontId="10" fillId="0" borderId="0" xfId="0" applyFont="1" applyAlignment="1">
      <alignment textRotation="90"/>
    </xf>
    <xf numFmtId="1" fontId="11" fillId="2" borderId="0" xfId="0" applyNumberFormat="1" applyFont="1" applyFill="1" applyAlignment="1" applyProtection="1">
      <alignment horizontal="center" vertical="center" textRotation="90"/>
      <protection locked="0"/>
    </xf>
    <xf numFmtId="0" fontId="13" fillId="0" borderId="0" xfId="0" applyFont="1" applyAlignment="1">
      <alignment horizontal="center" vertical="center"/>
    </xf>
    <xf numFmtId="0" fontId="13" fillId="0" borderId="1" xfId="0" applyFont="1" applyBorder="1" applyAlignment="1">
      <alignment horizontal="center" vertical="center"/>
    </xf>
    <xf numFmtId="0" fontId="13" fillId="0" borderId="7"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8" xfId="0" applyNumberFormat="1" applyFont="1" applyBorder="1" applyAlignment="1">
      <alignment horizontal="center" vertical="center"/>
    </xf>
    <xf numFmtId="1" fontId="0" fillId="3" borderId="1" xfId="0" applyNumberFormat="1" applyFill="1" applyBorder="1" applyAlignment="1">
      <alignment horizontal="center"/>
    </xf>
    <xf numFmtId="1" fontId="0" fillId="4" borderId="1" xfId="0" applyNumberFormat="1" applyFill="1" applyBorder="1" applyAlignment="1">
      <alignment horizontal="center"/>
    </xf>
    <xf numFmtId="1" fontId="13" fillId="0" borderId="1" xfId="0" applyNumberFormat="1" applyFont="1" applyBorder="1" applyAlignment="1">
      <alignment horizontal="center" vertical="center"/>
    </xf>
    <xf numFmtId="1" fontId="13" fillId="0" borderId="8" xfId="0" applyNumberFormat="1"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3" fillId="0" borderId="4" xfId="0" applyFont="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14" fillId="6" borderId="11" xfId="0" applyFont="1" applyFill="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1" fontId="13" fillId="0" borderId="13" xfId="0" applyNumberFormat="1" applyFont="1" applyBorder="1" applyAlignment="1">
      <alignment horizontal="center" vertical="center"/>
    </xf>
    <xf numFmtId="1" fontId="13" fillId="0" borderId="14" xfId="0" applyNumberFormat="1" applyFont="1" applyBorder="1" applyAlignment="1">
      <alignment horizontal="center" vertical="center"/>
    </xf>
    <xf numFmtId="1" fontId="5" fillId="2" borderId="1" xfId="0" applyNumberFormat="1" applyFont="1" applyFill="1" applyBorder="1" applyAlignment="1" applyProtection="1">
      <alignment horizontal="center" vertical="center" wrapText="1"/>
      <protection locked="0"/>
    </xf>
    <xf numFmtId="1" fontId="5" fillId="2" borderId="2" xfId="0" applyNumberFormat="1" applyFont="1" applyFill="1" applyBorder="1" applyAlignment="1" applyProtection="1">
      <alignment horizontal="center" vertical="center" wrapText="1"/>
      <protection locked="0"/>
    </xf>
    <xf numFmtId="1" fontId="5" fillId="2" borderId="3" xfId="0" applyNumberFormat="1" applyFont="1" applyFill="1" applyBorder="1" applyAlignment="1" applyProtection="1">
      <alignment horizontal="center" vertical="center" wrapText="1"/>
      <protection locked="0"/>
    </xf>
    <xf numFmtId="1" fontId="5" fillId="2" borderId="4" xfId="0" applyNumberFormat="1" applyFont="1" applyFill="1" applyBorder="1" applyAlignment="1" applyProtection="1">
      <alignment horizontal="center" vertical="center" wrapText="1"/>
      <protection locked="0"/>
    </xf>
    <xf numFmtId="1" fontId="5" fillId="5" borderId="1" xfId="0" applyNumberFormat="1" applyFont="1" applyFill="1" applyBorder="1" applyAlignment="1" applyProtection="1">
      <alignment horizontal="center" vertical="center" wrapText="1"/>
      <protection locked="0"/>
    </xf>
    <xf numFmtId="1" fontId="5" fillId="5" borderId="2" xfId="0" applyNumberFormat="1" applyFont="1" applyFill="1" applyBorder="1" applyAlignment="1" applyProtection="1">
      <alignment horizontal="center" vertical="center" wrapText="1"/>
      <protection locked="0"/>
    </xf>
    <xf numFmtId="1" fontId="5" fillId="5" borderId="3" xfId="0" applyNumberFormat="1" applyFont="1" applyFill="1" applyBorder="1" applyAlignment="1" applyProtection="1">
      <alignment horizontal="center" vertical="center" wrapText="1"/>
      <protection locked="0"/>
    </xf>
    <xf numFmtId="1" fontId="5" fillId="5" borderId="4" xfId="0" applyNumberFormat="1" applyFont="1" applyFill="1" applyBorder="1" applyAlignment="1" applyProtection="1">
      <alignment horizontal="center" vertical="center" wrapText="1"/>
      <protection locked="0"/>
    </xf>
    <xf numFmtId="1" fontId="6" fillId="2" borderId="2" xfId="0" applyNumberFormat="1" applyFont="1" applyFill="1" applyBorder="1" applyAlignment="1" applyProtection="1">
      <alignment horizontal="center" vertical="center" wrapText="1"/>
      <protection locked="0"/>
    </xf>
    <xf numFmtId="1" fontId="6" fillId="2" borderId="3" xfId="0" applyNumberFormat="1" applyFont="1" applyFill="1" applyBorder="1" applyAlignment="1" applyProtection="1">
      <alignment horizontal="center" vertical="center" wrapText="1"/>
      <protection locked="0"/>
    </xf>
    <xf numFmtId="1" fontId="6" fillId="2" borderId="4" xfId="0" applyNumberFormat="1" applyFont="1" applyFill="1" applyBorder="1" applyAlignment="1" applyProtection="1">
      <alignment horizontal="center" vertical="center" wrapText="1"/>
      <protection locked="0"/>
    </xf>
  </cellXfs>
  <cellStyles count="3">
    <cellStyle name="Comma 2" xfId="1" xr:uid="{0D297F0F-3D08-4BB3-8D22-AC7F25414688}"/>
    <cellStyle name="Normal" xfId="0" builtinId="0"/>
    <cellStyle name="Percent 2" xfId="2" xr:uid="{B6458BF0-D1D9-454C-A0F5-0F41C5485134}"/>
  </cellStyles>
  <dxfs count="27">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medium">
          <color indexed="64"/>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top style="medium">
          <color indexed="64"/>
        </top>
        <bottom style="medium">
          <color indexed="64"/>
        </bottom>
      </border>
    </dxf>
    <dxf>
      <border outline="0">
        <bottom style="thin">
          <color auto="1"/>
        </bottom>
      </border>
    </dxf>
    <dxf>
      <font>
        <b/>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medium">
          <color indexed="64"/>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top style="medium">
          <color indexed="64"/>
        </top>
        <bottom style="medium">
          <color indexed="64"/>
        </bottom>
      </border>
    </dxf>
    <dxf>
      <border outline="0">
        <bottom style="thin">
          <color auto="1"/>
        </bottom>
      </border>
    </dxf>
    <dxf>
      <font>
        <b/>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Sheet 1'!$E$1</c:f>
              <c:strCache>
                <c:ptCount val="1"/>
                <c:pt idx="0">
                  <c:v>Average</c:v>
                </c:pt>
              </c:strCache>
            </c:strRef>
          </c:tx>
          <c:spPr>
            <a:ln w="3175" cap="rnd">
              <a:solidFill>
                <a:srgbClr val="00B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'Analysis Sheet 1'!$A$2:$A$179</c:f>
              <c:strCache>
                <c:ptCount val="17"/>
                <c:pt idx="0">
                  <c:v>ZLD Plant (I/L)</c:v>
                </c:pt>
                <c:pt idx="1">
                  <c:v>ASP (I/L)</c:v>
                </c:pt>
                <c:pt idx="2">
                  <c:v>SC (O/F)  </c:v>
                </c:pt>
                <c:pt idx="3">
                  <c:v>TS-502 (O/F)</c:v>
                </c:pt>
                <c:pt idx="4">
                  <c:v>GSF (O/L)</c:v>
                </c:pt>
                <c:pt idx="5">
                  <c:v>MBR (I/L)</c:v>
                </c:pt>
                <c:pt idx="6">
                  <c:v>MBR (O/L)</c:v>
                </c:pt>
                <c:pt idx="7">
                  <c:v>SPRO (Feed)</c:v>
                </c:pt>
                <c:pt idx="8">
                  <c:v>SPRO (Permeate)</c:v>
                </c:pt>
                <c:pt idx="9">
                  <c:v>SPRO (Reject)</c:v>
                </c:pt>
                <c:pt idx="10">
                  <c:v>PTRO (Feed)</c:v>
                </c:pt>
                <c:pt idx="11">
                  <c:v>PTRO (Permeate)</c:v>
                </c:pt>
                <c:pt idx="12">
                  <c:v>PTRO (Reject)</c:v>
                </c:pt>
                <c:pt idx="13">
                  <c:v>HPRO (Feed)</c:v>
                </c:pt>
                <c:pt idx="14">
                  <c:v>HPRO (Permeate)</c:v>
                </c:pt>
                <c:pt idx="15">
                  <c:v>HPRO (Reject)</c:v>
                </c:pt>
                <c:pt idx="16">
                  <c:v>T-512</c:v>
                </c:pt>
              </c:strCache>
            </c:strRef>
          </c:cat>
          <c:val>
            <c:numRef>
              <c:f>'Analysis Sheet 1'!$E$2:$E$179</c:f>
              <c:numCache>
                <c:formatCode>0</c:formatCode>
                <c:ptCount val="17"/>
                <c:pt idx="0">
                  <c:v>88.666666666666671</c:v>
                </c:pt>
                <c:pt idx="1">
                  <c:v>67</c:v>
                </c:pt>
                <c:pt idx="2">
                  <c:v>18</c:v>
                </c:pt>
                <c:pt idx="3">
                  <c:v>93</c:v>
                </c:pt>
                <c:pt idx="4">
                  <c:v>80</c:v>
                </c:pt>
                <c:pt idx="5">
                  <c:v>85.333333333333329</c:v>
                </c:pt>
                <c:pt idx="6" formatCode="0.00">
                  <c:v>4.5999999999999996</c:v>
                </c:pt>
                <c:pt idx="7">
                  <c:v>5.6</c:v>
                </c:pt>
                <c:pt idx="8">
                  <c:v>2</c:v>
                </c:pt>
                <c:pt idx="9">
                  <c:v>13.166666666666666</c:v>
                </c:pt>
                <c:pt idx="10">
                  <c:v>22</c:v>
                </c:pt>
                <c:pt idx="11">
                  <c:v>2</c:v>
                </c:pt>
                <c:pt idx="12">
                  <c:v>30</c:v>
                </c:pt>
                <c:pt idx="13">
                  <c:v>13.6</c:v>
                </c:pt>
                <c:pt idx="14">
                  <c:v>2</c:v>
                </c:pt>
                <c:pt idx="15">
                  <c:v>22.5</c:v>
                </c:pt>
                <c:pt idx="16">
                  <c:v>8.3333333333333339</c:v>
                </c:pt>
              </c:numCache>
            </c:numRef>
          </c:val>
          <c:smooth val="0"/>
          <c:extLst>
            <c:ext xmlns:c16="http://schemas.microsoft.com/office/drawing/2014/chart" uri="{C3380CC4-5D6E-409C-BE32-E72D297353CC}">
              <c16:uniqueId val="{00000000-99C4-4A80-B01D-C622BA8AF0F1}"/>
            </c:ext>
          </c:extLst>
        </c:ser>
        <c:dLbls>
          <c:showLegendKey val="0"/>
          <c:showVal val="1"/>
          <c:showCatName val="0"/>
          <c:showSerName val="0"/>
          <c:showPercent val="0"/>
          <c:showBubbleSize val="0"/>
        </c:dLbls>
        <c:marker val="1"/>
        <c:smooth val="0"/>
        <c:axId val="974770527"/>
        <c:axId val="974771007"/>
      </c:lineChart>
      <c:catAx>
        <c:axId val="974770527"/>
        <c:scaling>
          <c:orientation val="minMax"/>
        </c:scaling>
        <c:delete val="0"/>
        <c:axPos val="b"/>
        <c:title>
          <c:tx>
            <c:rich>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r>
                  <a:rPr lang="en-IN" sz="1100" b="1">
                    <a:solidFill>
                      <a:srgbClr val="FF0000"/>
                    </a:solidFill>
                    <a:latin typeface="+mn-lt"/>
                    <a:ea typeface="+mn-ea"/>
                    <a:cs typeface="+mn-cs"/>
                  </a:rPr>
                  <a:t>Stages</a:t>
                </a:r>
                <a:endParaRPr lang="en-IN" sz="1100" b="1">
                  <a:solidFill>
                    <a:srgbClr val="FF0000"/>
                  </a:solidFill>
                </a:endParaRPr>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1007"/>
        <c:crosses val="autoZero"/>
        <c:auto val="1"/>
        <c:lblAlgn val="ctr"/>
        <c:lblOffset val="100"/>
        <c:noMultiLvlLbl val="0"/>
      </c:catAx>
      <c:valAx>
        <c:axId val="97477100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en-IN" b="1">
                    <a:solidFill>
                      <a:srgbClr val="FF0000"/>
                    </a:solidFill>
                    <a:latin typeface="+mn-lt"/>
                    <a:ea typeface="+mn-ea"/>
                    <a:cs typeface="+mn-cs"/>
                  </a:rPr>
                  <a:t>Average</a:t>
                </a:r>
                <a:r>
                  <a:rPr lang="en-IN" b="1" baseline="0">
                    <a:solidFill>
                      <a:srgbClr val="FF0000"/>
                    </a:solidFill>
                    <a:latin typeface="+mn-lt"/>
                    <a:ea typeface="+mn-ea"/>
                    <a:cs typeface="+mn-cs"/>
                  </a:rPr>
                  <a:t> Value</a:t>
                </a:r>
                <a:endParaRPr lang="en-IN" b="1">
                  <a:solidFill>
                    <a:srgbClr val="FF0000"/>
                  </a:solidFill>
                </a:endParaRPr>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857384047005394E-2"/>
          <c:y val="6.6666666666666666E-2"/>
          <c:w val="0.9118109106317912"/>
          <c:h val="0.68640115900926557"/>
        </c:manualLayout>
      </c:layout>
      <c:bar3DChart>
        <c:barDir val="col"/>
        <c:grouping val="clustered"/>
        <c:varyColors val="0"/>
        <c:ser>
          <c:idx val="0"/>
          <c:order val="0"/>
          <c:tx>
            <c:strRef>
              <c:f>'Analysis Sheet 2'!$E$1</c:f>
              <c:strCache>
                <c:ptCount val="1"/>
                <c:pt idx="0">
                  <c:v>Average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2'!$B$2:$B$179</c:f>
              <c:strCache>
                <c:ptCount val="12"/>
                <c:pt idx="0">
                  <c:v>Flow Rate</c:v>
                </c:pt>
                <c:pt idx="1">
                  <c:v>pH</c:v>
                </c:pt>
                <c:pt idx="2">
                  <c:v>Temperature</c:v>
                </c:pt>
                <c:pt idx="3">
                  <c:v>TDS</c:v>
                </c:pt>
                <c:pt idx="4">
                  <c:v>COD</c:v>
                </c:pt>
                <c:pt idx="5">
                  <c:v>BOD</c:v>
                </c:pt>
                <c:pt idx="6">
                  <c:v>TSS</c:v>
                </c:pt>
                <c:pt idx="7">
                  <c:v>Turbidity</c:v>
                </c:pt>
                <c:pt idx="8">
                  <c:v>NH4-N</c:v>
                </c:pt>
                <c:pt idx="9">
                  <c:v>TH</c:v>
                </c:pt>
                <c:pt idx="10">
                  <c:v>Calcium</c:v>
                </c:pt>
                <c:pt idx="11">
                  <c:v>Colour</c:v>
                </c:pt>
              </c:strCache>
            </c:strRef>
          </c:cat>
          <c:val>
            <c:numRef>
              <c:f>'Analysis Sheet 2'!$E$2:$E$179</c:f>
              <c:numCache>
                <c:formatCode>0.00</c:formatCode>
                <c:ptCount val="12"/>
                <c:pt idx="0">
                  <c:v>4.3633333333333333</c:v>
                </c:pt>
                <c:pt idx="1">
                  <c:v>8.1705555555555556</c:v>
                </c:pt>
                <c:pt idx="2">
                  <c:v>23.05</c:v>
                </c:pt>
                <c:pt idx="3" formatCode="0">
                  <c:v>866.33333333333337</c:v>
                </c:pt>
                <c:pt idx="4" formatCode="0">
                  <c:v>3218.9166666666665</c:v>
                </c:pt>
                <c:pt idx="5" formatCode="0">
                  <c:v>2400</c:v>
                </c:pt>
                <c:pt idx="6" formatCode="0">
                  <c:v>88.666666666666671</c:v>
                </c:pt>
                <c:pt idx="7" formatCode="0">
                  <c:v>42.888888888888886</c:v>
                </c:pt>
                <c:pt idx="8" formatCode="0">
                  <c:v>113.72222222222221</c:v>
                </c:pt>
                <c:pt idx="9" formatCode="0">
                  <c:v>42.166666666666664</c:v>
                </c:pt>
                <c:pt idx="10" formatCode="0">
                  <c:v>14</c:v>
                </c:pt>
                <c:pt idx="11" formatCode="0">
                  <c:v>2930.1666666666665</c:v>
                </c:pt>
              </c:numCache>
            </c:numRef>
          </c:val>
          <c:extLst>
            <c:ext xmlns:c16="http://schemas.microsoft.com/office/drawing/2014/chart" uri="{C3380CC4-5D6E-409C-BE32-E72D297353CC}">
              <c16:uniqueId val="{00000000-C1AC-4C81-97DB-43D6220B7640}"/>
            </c:ext>
          </c:extLst>
        </c:ser>
        <c:dLbls>
          <c:showLegendKey val="0"/>
          <c:showVal val="1"/>
          <c:showCatName val="0"/>
          <c:showSerName val="0"/>
          <c:showPercent val="0"/>
          <c:showBubbleSize val="0"/>
        </c:dLbls>
        <c:gapWidth val="150"/>
        <c:shape val="box"/>
        <c:axId val="1081350143"/>
        <c:axId val="1081362143"/>
        <c:axId val="0"/>
      </c:bar3DChart>
      <c:catAx>
        <c:axId val="108135014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Parameters</a:t>
                </a:r>
              </a:p>
            </c:rich>
          </c:tx>
          <c:layout>
            <c:manualLayout>
              <c:xMode val="edge"/>
              <c:yMode val="edge"/>
              <c:x val="0.46099624441020276"/>
              <c:y val="0.88672679551419709"/>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62143"/>
        <c:crosses val="autoZero"/>
        <c:auto val="1"/>
        <c:lblAlgn val="ctr"/>
        <c:lblOffset val="100"/>
        <c:noMultiLvlLbl val="0"/>
      </c:catAx>
      <c:valAx>
        <c:axId val="108136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Average Value</a:t>
                </a:r>
              </a:p>
            </c:rich>
          </c:tx>
          <c:layout>
            <c:manualLayout>
              <c:xMode val="edge"/>
              <c:yMode val="edge"/>
              <c:x val="2.0078083250183357E-2"/>
              <c:y val="0.28214961769229224"/>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Sheet 1'!$E$1</c:f>
              <c:strCache>
                <c:ptCount val="1"/>
                <c:pt idx="0">
                  <c:v>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1'!$A$2:$A$179</c:f>
              <c:strCache>
                <c:ptCount val="17"/>
                <c:pt idx="0">
                  <c:v>ZLD Plant (I/L)</c:v>
                </c:pt>
                <c:pt idx="1">
                  <c:v>ASP (I/L)</c:v>
                </c:pt>
                <c:pt idx="2">
                  <c:v>SC (O/F)  </c:v>
                </c:pt>
                <c:pt idx="3">
                  <c:v>TS-502 (O/F)</c:v>
                </c:pt>
                <c:pt idx="4">
                  <c:v>GSF (O/L)</c:v>
                </c:pt>
                <c:pt idx="5">
                  <c:v>MBR (I/L)</c:v>
                </c:pt>
                <c:pt idx="6">
                  <c:v>MBR (O/L)</c:v>
                </c:pt>
                <c:pt idx="7">
                  <c:v>SPRO (Feed)</c:v>
                </c:pt>
                <c:pt idx="8">
                  <c:v>SPRO (Permeate)</c:v>
                </c:pt>
                <c:pt idx="9">
                  <c:v>SPRO (Reject)</c:v>
                </c:pt>
                <c:pt idx="10">
                  <c:v>PTRO (Feed)</c:v>
                </c:pt>
                <c:pt idx="11">
                  <c:v>PTRO (Permeate)</c:v>
                </c:pt>
                <c:pt idx="12">
                  <c:v>PTRO (Reject)</c:v>
                </c:pt>
                <c:pt idx="13">
                  <c:v>HPRO (Feed)</c:v>
                </c:pt>
                <c:pt idx="14">
                  <c:v>HPRO (Permeate)</c:v>
                </c:pt>
                <c:pt idx="15">
                  <c:v>HPRO (Reject)</c:v>
                </c:pt>
                <c:pt idx="16">
                  <c:v>T-512</c:v>
                </c:pt>
              </c:strCache>
            </c:strRef>
          </c:cat>
          <c:val>
            <c:numRef>
              <c:f>'Analysis Sheet 1'!$E$2:$E$179</c:f>
              <c:numCache>
                <c:formatCode>0</c:formatCode>
                <c:ptCount val="17"/>
                <c:pt idx="0">
                  <c:v>88.666666666666671</c:v>
                </c:pt>
                <c:pt idx="1">
                  <c:v>67</c:v>
                </c:pt>
                <c:pt idx="2">
                  <c:v>18</c:v>
                </c:pt>
                <c:pt idx="3">
                  <c:v>93</c:v>
                </c:pt>
                <c:pt idx="4">
                  <c:v>80</c:v>
                </c:pt>
                <c:pt idx="5">
                  <c:v>85.333333333333329</c:v>
                </c:pt>
                <c:pt idx="6" formatCode="0.00">
                  <c:v>4.5999999999999996</c:v>
                </c:pt>
                <c:pt idx="7">
                  <c:v>5.6</c:v>
                </c:pt>
                <c:pt idx="8">
                  <c:v>2</c:v>
                </c:pt>
                <c:pt idx="9">
                  <c:v>13.166666666666666</c:v>
                </c:pt>
                <c:pt idx="10">
                  <c:v>22</c:v>
                </c:pt>
                <c:pt idx="11">
                  <c:v>2</c:v>
                </c:pt>
                <c:pt idx="12">
                  <c:v>30</c:v>
                </c:pt>
                <c:pt idx="13">
                  <c:v>13.6</c:v>
                </c:pt>
                <c:pt idx="14">
                  <c:v>2</c:v>
                </c:pt>
                <c:pt idx="15">
                  <c:v>22.5</c:v>
                </c:pt>
                <c:pt idx="16">
                  <c:v>8.3333333333333339</c:v>
                </c:pt>
              </c:numCache>
            </c:numRef>
          </c:val>
          <c:smooth val="0"/>
          <c:extLst>
            <c:ext xmlns:c16="http://schemas.microsoft.com/office/drawing/2014/chart" uri="{C3380CC4-5D6E-409C-BE32-E72D297353CC}">
              <c16:uniqueId val="{00000000-BB78-4C33-B739-66A67DACF165}"/>
            </c:ext>
          </c:extLst>
        </c:ser>
        <c:dLbls>
          <c:showLegendKey val="0"/>
          <c:showVal val="1"/>
          <c:showCatName val="0"/>
          <c:showSerName val="0"/>
          <c:showPercent val="0"/>
          <c:showBubbleSize val="0"/>
        </c:dLbls>
        <c:marker val="1"/>
        <c:smooth val="0"/>
        <c:axId val="974770527"/>
        <c:axId val="974771007"/>
      </c:lineChart>
      <c:catAx>
        <c:axId val="97477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solidFill>
                      <a:schemeClr val="lt1"/>
                    </a:solidFill>
                    <a:latin typeface="+mn-lt"/>
                    <a:ea typeface="+mn-ea"/>
                    <a:cs typeface="+mn-cs"/>
                  </a:rPr>
                  <a:t>Stages</a:t>
                </a:r>
                <a:endParaRPr lang="en-IN"/>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1007"/>
        <c:crosses val="autoZero"/>
        <c:auto val="1"/>
        <c:lblAlgn val="ctr"/>
        <c:lblOffset val="100"/>
        <c:noMultiLvlLbl val="0"/>
      </c:catAx>
      <c:valAx>
        <c:axId val="97477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solidFill>
                      <a:schemeClr val="lt1"/>
                    </a:solidFill>
                    <a:latin typeface="+mn-lt"/>
                    <a:ea typeface="+mn-ea"/>
                    <a:cs typeface="+mn-cs"/>
                  </a:rPr>
                  <a:t>Average</a:t>
                </a:r>
                <a:r>
                  <a:rPr lang="en-IN" baseline="0">
                    <a:solidFill>
                      <a:schemeClr val="lt1"/>
                    </a:solidFill>
                    <a:latin typeface="+mn-lt"/>
                    <a:ea typeface="+mn-ea"/>
                    <a:cs typeface="+mn-cs"/>
                  </a:rPr>
                  <a:t> Value</a:t>
                </a:r>
                <a:endParaRPr lang="en-IN"/>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93279049275032"/>
          <c:y val="6.6666666666666666E-2"/>
          <c:w val="0.85473567150605279"/>
          <c:h val="0.65773037461226425"/>
        </c:manualLayout>
      </c:layout>
      <c:bar3DChart>
        <c:barDir val="col"/>
        <c:grouping val="clustered"/>
        <c:varyColors val="0"/>
        <c:ser>
          <c:idx val="0"/>
          <c:order val="0"/>
          <c:tx>
            <c:strRef>
              <c:f>'Analysis Sheet 2'!$E$1</c:f>
              <c:strCache>
                <c:ptCount val="1"/>
                <c:pt idx="0">
                  <c:v>Average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2'!$B$2:$B$179</c:f>
              <c:strCache>
                <c:ptCount val="12"/>
                <c:pt idx="0">
                  <c:v>Flow Rate</c:v>
                </c:pt>
                <c:pt idx="1">
                  <c:v>pH</c:v>
                </c:pt>
                <c:pt idx="2">
                  <c:v>Temperature</c:v>
                </c:pt>
                <c:pt idx="3">
                  <c:v>TDS</c:v>
                </c:pt>
                <c:pt idx="4">
                  <c:v>COD</c:v>
                </c:pt>
                <c:pt idx="5">
                  <c:v>BOD</c:v>
                </c:pt>
                <c:pt idx="6">
                  <c:v>TSS</c:v>
                </c:pt>
                <c:pt idx="7">
                  <c:v>Turbidity</c:v>
                </c:pt>
                <c:pt idx="8">
                  <c:v>NH4-N</c:v>
                </c:pt>
                <c:pt idx="9">
                  <c:v>TH</c:v>
                </c:pt>
                <c:pt idx="10">
                  <c:v>Calcium</c:v>
                </c:pt>
                <c:pt idx="11">
                  <c:v>Colour</c:v>
                </c:pt>
              </c:strCache>
            </c:strRef>
          </c:cat>
          <c:val>
            <c:numRef>
              <c:f>'Analysis Sheet 2'!$E$2:$E$179</c:f>
              <c:numCache>
                <c:formatCode>0.00</c:formatCode>
                <c:ptCount val="12"/>
                <c:pt idx="0">
                  <c:v>4.3633333333333333</c:v>
                </c:pt>
                <c:pt idx="1">
                  <c:v>8.1705555555555556</c:v>
                </c:pt>
                <c:pt idx="2">
                  <c:v>23.05</c:v>
                </c:pt>
                <c:pt idx="3" formatCode="0">
                  <c:v>866.33333333333337</c:v>
                </c:pt>
                <c:pt idx="4" formatCode="0">
                  <c:v>3218.9166666666665</c:v>
                </c:pt>
                <c:pt idx="5" formatCode="0">
                  <c:v>2400</c:v>
                </c:pt>
                <c:pt idx="6" formatCode="0">
                  <c:v>88.666666666666671</c:v>
                </c:pt>
                <c:pt idx="7" formatCode="0">
                  <c:v>42.888888888888886</c:v>
                </c:pt>
                <c:pt idx="8" formatCode="0">
                  <c:v>113.72222222222221</c:v>
                </c:pt>
                <c:pt idx="9" formatCode="0">
                  <c:v>42.166666666666664</c:v>
                </c:pt>
                <c:pt idx="10" formatCode="0">
                  <c:v>14</c:v>
                </c:pt>
                <c:pt idx="11" formatCode="0">
                  <c:v>2930.1666666666665</c:v>
                </c:pt>
              </c:numCache>
            </c:numRef>
          </c:val>
          <c:extLst>
            <c:ext xmlns:c16="http://schemas.microsoft.com/office/drawing/2014/chart" uri="{C3380CC4-5D6E-409C-BE32-E72D297353CC}">
              <c16:uniqueId val="{00000000-A8CB-4D5E-81FC-2E0D35A41114}"/>
            </c:ext>
          </c:extLst>
        </c:ser>
        <c:dLbls>
          <c:showLegendKey val="0"/>
          <c:showVal val="1"/>
          <c:showCatName val="0"/>
          <c:showSerName val="0"/>
          <c:showPercent val="0"/>
          <c:showBubbleSize val="0"/>
        </c:dLbls>
        <c:gapWidth val="150"/>
        <c:shape val="box"/>
        <c:axId val="1081350143"/>
        <c:axId val="1081362143"/>
        <c:axId val="0"/>
      </c:bar3DChart>
      <c:catAx>
        <c:axId val="108135014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Parameters</a:t>
                </a:r>
              </a:p>
            </c:rich>
          </c:tx>
          <c:layout>
            <c:manualLayout>
              <c:xMode val="edge"/>
              <c:yMode val="edge"/>
              <c:x val="0.46099624441020276"/>
              <c:y val="0.88672679551419709"/>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62143"/>
        <c:crosses val="autoZero"/>
        <c:auto val="1"/>
        <c:lblAlgn val="ctr"/>
        <c:lblOffset val="100"/>
        <c:noMultiLvlLbl val="0"/>
      </c:catAx>
      <c:valAx>
        <c:axId val="108136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Average Value</a:t>
                </a:r>
              </a:p>
            </c:rich>
          </c:tx>
          <c:layout>
            <c:manualLayout>
              <c:xMode val="edge"/>
              <c:yMode val="edge"/>
              <c:x val="2.0078127576961317E-2"/>
              <c:y val="0.17086757337151037"/>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'Parameter (Wise)'!$C$1</c:f>
              <c:strCache>
                <c:ptCount val="1"/>
                <c:pt idx="0">
                  <c:v>Average</c:v>
                </c:pt>
              </c:strCache>
            </c:strRef>
          </c:tx>
          <c:spPr>
            <a:ln w="31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'Parameter (Wise)'!$A$2:$A$148</c:f>
              <c:strCache>
                <c:ptCount val="17"/>
                <c:pt idx="0">
                  <c:v>ZLD Plant (I/L)</c:v>
                </c:pt>
                <c:pt idx="1">
                  <c:v>ASP (I/L)</c:v>
                </c:pt>
                <c:pt idx="2">
                  <c:v>ASP - T</c:v>
                </c:pt>
                <c:pt idx="3">
                  <c:v>SC (O/F)  </c:v>
                </c:pt>
                <c:pt idx="4">
                  <c:v>MBBR I</c:v>
                </c:pt>
                <c:pt idx="5">
                  <c:v>MBBR II</c:v>
                </c:pt>
                <c:pt idx="6">
                  <c:v>TS-502 (O/F)</c:v>
                </c:pt>
                <c:pt idx="7">
                  <c:v>GSF (O/L)</c:v>
                </c:pt>
                <c:pt idx="8">
                  <c:v>MBR (I/L)</c:v>
                </c:pt>
                <c:pt idx="9">
                  <c:v>MBR (O/L)</c:v>
                </c:pt>
                <c:pt idx="10">
                  <c:v>SPRO (Feed)</c:v>
                </c:pt>
                <c:pt idx="11">
                  <c:v>SPRO (Permeate)</c:v>
                </c:pt>
                <c:pt idx="12">
                  <c:v>HPRO (Feed)</c:v>
                </c:pt>
                <c:pt idx="13">
                  <c:v>HPRO (Permeate)</c:v>
                </c:pt>
                <c:pt idx="14">
                  <c:v>HPRO (Reject)</c:v>
                </c:pt>
                <c:pt idx="15">
                  <c:v>T-512</c:v>
                </c:pt>
                <c:pt idx="16">
                  <c:v>T-513</c:v>
                </c:pt>
              </c:strCache>
            </c:strRef>
          </c:cat>
          <c:val>
            <c:numRef>
              <c:f>'Parameter (Wise)'!$C$2:$C$148</c:f>
              <c:numCache>
                <c:formatCode>0.00</c:formatCode>
                <c:ptCount val="17"/>
                <c:pt idx="0">
                  <c:v>8.5781666666666663</c:v>
                </c:pt>
                <c:pt idx="1">
                  <c:v>7.5628888888888914</c:v>
                </c:pt>
                <c:pt idx="2">
                  <c:v>7.4094444444444436</c:v>
                </c:pt>
                <c:pt idx="3">
                  <c:v>7.4287777777777775</c:v>
                </c:pt>
                <c:pt idx="4">
                  <c:v>8.0103333333333335</c:v>
                </c:pt>
                <c:pt idx="5">
                  <c:v>7.97</c:v>
                </c:pt>
                <c:pt idx="6">
                  <c:v>7.9391111111111128</c:v>
                </c:pt>
                <c:pt idx="7">
                  <c:v>7.9734444444444437</c:v>
                </c:pt>
                <c:pt idx="8">
                  <c:v>8.3542722222222228</c:v>
                </c:pt>
                <c:pt idx="9">
                  <c:v>8.3858444444444462</c:v>
                </c:pt>
                <c:pt idx="10">
                  <c:v>8.1928333333333327</c:v>
                </c:pt>
                <c:pt idx="11">
                  <c:v>7.3896111111111127</c:v>
                </c:pt>
                <c:pt idx="12">
                  <c:v>7.6735057471264385</c:v>
                </c:pt>
                <c:pt idx="13">
                  <c:v>8.3953448275862073</c:v>
                </c:pt>
                <c:pt idx="14">
                  <c:v>8.0012643678160931</c:v>
                </c:pt>
                <c:pt idx="15">
                  <c:v>8.3913888888888906</c:v>
                </c:pt>
                <c:pt idx="16">
                  <c:v>7.881444444444444</c:v>
                </c:pt>
              </c:numCache>
            </c:numRef>
          </c:val>
          <c:smooth val="0"/>
          <c:extLst>
            <c:ext xmlns:c16="http://schemas.microsoft.com/office/drawing/2014/chart" uri="{C3380CC4-5D6E-409C-BE32-E72D297353CC}">
              <c16:uniqueId val="{00000000-D4C2-491F-8A89-D7846CB890B0}"/>
            </c:ext>
          </c:extLst>
        </c:ser>
        <c:dLbls>
          <c:dLblPos val="t"/>
          <c:showLegendKey val="0"/>
          <c:showVal val="1"/>
          <c:showCatName val="0"/>
          <c:showSerName val="0"/>
          <c:showPercent val="0"/>
          <c:showBubbleSize val="0"/>
        </c:dLbls>
        <c:marker val="1"/>
        <c:smooth val="0"/>
        <c:axId val="1041422720"/>
        <c:axId val="1041423680"/>
      </c:lineChart>
      <c:catAx>
        <c:axId val="104142272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400" b="1">
                    <a:solidFill>
                      <a:schemeClr val="lt1"/>
                    </a:solidFill>
                    <a:latin typeface="+mn-lt"/>
                    <a:ea typeface="+mn-ea"/>
                    <a:cs typeface="+mn-cs"/>
                  </a:rPr>
                  <a:t>Stages</a:t>
                </a:r>
                <a:endParaRPr lang="en-IN" sz="1400" b="1">
                  <a:solidFill>
                    <a:srgbClr val="FFFF00"/>
                  </a:solidFill>
                </a:endParaRPr>
              </a:p>
            </c:rich>
          </c:tx>
          <c:layout>
            <c:manualLayout>
              <c:xMode val="edge"/>
              <c:yMode val="edge"/>
              <c:x val="0.50726442130090477"/>
              <c:y val="0.89866339293416819"/>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1423680"/>
        <c:crosses val="autoZero"/>
        <c:auto val="1"/>
        <c:lblAlgn val="ctr"/>
        <c:lblOffset val="100"/>
        <c:noMultiLvlLbl val="0"/>
      </c:catAx>
      <c:valAx>
        <c:axId val="10414236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r>
                  <a:rPr lang="en-IN" sz="1200" b="1">
                    <a:solidFill>
                      <a:schemeClr val="lt1"/>
                    </a:solidFill>
                    <a:latin typeface="+mn-lt"/>
                    <a:ea typeface="+mn-ea"/>
                    <a:cs typeface="+mn-cs"/>
                  </a:rPr>
                  <a:t>Average Value</a:t>
                </a:r>
                <a:endParaRPr lang="en-IN" sz="1200" b="1">
                  <a:solidFill>
                    <a:srgbClr val="FFFF00"/>
                  </a:solidFill>
                </a:endParaRPr>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142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'Stages (Wise)'!$A$23:$A$34</c:f>
              <c:strCache>
                <c:ptCount val="12"/>
                <c:pt idx="0">
                  <c:v>ASP - T</c:v>
                </c:pt>
                <c:pt idx="1">
                  <c:v>ASP - T</c:v>
                </c:pt>
                <c:pt idx="2">
                  <c:v>ASP - T</c:v>
                </c:pt>
                <c:pt idx="3">
                  <c:v>ASP - T</c:v>
                </c:pt>
                <c:pt idx="4">
                  <c:v>ASP - T</c:v>
                </c:pt>
                <c:pt idx="5">
                  <c:v>ASP - T</c:v>
                </c:pt>
                <c:pt idx="6">
                  <c:v>ASP - T</c:v>
                </c:pt>
                <c:pt idx="7">
                  <c:v>ASP - T</c:v>
                </c:pt>
                <c:pt idx="8">
                  <c:v>ASP - T</c:v>
                </c:pt>
                <c:pt idx="9">
                  <c:v>ASP - T</c:v>
                </c:pt>
                <c:pt idx="10">
                  <c:v>ASP - T</c:v>
                </c:pt>
                <c:pt idx="11">
                  <c:v>ASP - 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'Stages (Wise)'!$B$2:$B$148</c:f>
              <c:strCache>
                <c:ptCount val="6"/>
                <c:pt idx="0">
                  <c:v>pH</c:v>
                </c:pt>
                <c:pt idx="1">
                  <c:v>TDS</c:v>
                </c:pt>
                <c:pt idx="2">
                  <c:v>COD</c:v>
                </c:pt>
                <c:pt idx="3">
                  <c:v>BOD</c:v>
                </c:pt>
                <c:pt idx="4">
                  <c:v>NH4-N</c:v>
                </c:pt>
                <c:pt idx="5">
                  <c:v>TH</c:v>
                </c:pt>
              </c:strCache>
            </c:strRef>
          </c:cat>
          <c:val>
            <c:numRef>
              <c:f>'Stages (Wise)'!$C$2:$C$148</c:f>
              <c:numCache>
                <c:formatCode>0</c:formatCode>
                <c:ptCount val="6"/>
                <c:pt idx="0" formatCode="0.00">
                  <c:v>7.881444444444444</c:v>
                </c:pt>
                <c:pt idx="1">
                  <c:v>134.89905555555558</c:v>
                </c:pt>
                <c:pt idx="2">
                  <c:v>24.744444444444451</c:v>
                </c:pt>
                <c:pt idx="3">
                  <c:v>2</c:v>
                </c:pt>
                <c:pt idx="4">
                  <c:v>9.7672222222222214</c:v>
                </c:pt>
                <c:pt idx="5">
                  <c:v>12.744444444444444</c:v>
                </c:pt>
              </c:numCache>
            </c:numRef>
          </c:val>
          <c:extLst>
            <c:ext xmlns:c16="http://schemas.microsoft.com/office/drawing/2014/chart" uri="{C3380CC4-5D6E-409C-BE32-E72D297353CC}">
              <c16:uniqueId val="{00000000-67C5-47EE-9F4F-595C647071B4}"/>
            </c:ext>
          </c:extLst>
        </c:ser>
        <c:dLbls>
          <c:showLegendKey val="0"/>
          <c:showVal val="0"/>
          <c:showCatName val="0"/>
          <c:showSerName val="0"/>
          <c:showPercent val="0"/>
          <c:showBubbleSize val="0"/>
        </c:dLbls>
        <c:gapWidth val="150"/>
        <c:shape val="box"/>
        <c:axId val="1309473904"/>
        <c:axId val="1309474384"/>
        <c:axId val="0"/>
      </c:bar3DChart>
      <c:catAx>
        <c:axId val="1309473904"/>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r>
                  <a:rPr lang="en-IN" b="1">
                    <a:solidFill>
                      <a:srgbClr val="FF0000"/>
                    </a:solidFill>
                    <a:latin typeface="Times New Roman" panose="02020603050405020304" pitchFamily="18" charset="0"/>
                    <a:ea typeface="+mn-ea"/>
                    <a:cs typeface="Times New Roman" panose="02020603050405020304" pitchFamily="18" charset="0"/>
                  </a:rPr>
                  <a:t>Parameters</a:t>
                </a:r>
                <a:endParaRPr lang="en-IN" b="1">
                  <a:solidFill>
                    <a:srgbClr val="FF0000"/>
                  </a:solidFill>
                  <a:latin typeface="Times New Roman" panose="02020603050405020304" pitchFamily="18" charset="0"/>
                  <a:cs typeface="Times New Roman" panose="02020603050405020304" pitchFamily="18" charset="0"/>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09474384"/>
        <c:crosses val="autoZero"/>
        <c:auto val="1"/>
        <c:lblAlgn val="ctr"/>
        <c:lblOffset val="100"/>
        <c:noMultiLvlLbl val="0"/>
      </c:catAx>
      <c:valAx>
        <c:axId val="130947438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latin typeface="+mn-lt"/>
                    <a:ea typeface="+mn-ea"/>
                    <a:cs typeface="+mn-cs"/>
                  </a:rPr>
                  <a:t>Average Value</a:t>
                </a:r>
                <a:endParaRPr lang="en-IN">
                  <a:solidFill>
                    <a:srgbClr val="FF0000"/>
                  </a:solidFill>
                </a:endParaRPr>
              </a:p>
            </c:rich>
          </c:tx>
          <c:layout>
            <c:manualLayout>
              <c:xMode val="edge"/>
              <c:yMode val="edge"/>
              <c:x val="2.8245893448199132E-2"/>
              <c:y val="0.3471043731473864"/>
            </c:manualLayout>
          </c:layout>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0947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95251</xdr:rowOff>
    </xdr:from>
    <xdr:to>
      <xdr:col>15</xdr:col>
      <xdr:colOff>390525</xdr:colOff>
      <xdr:row>21</xdr:row>
      <xdr:rowOff>142875</xdr:rowOff>
    </xdr:to>
    <xdr:sp macro="" textlink="">
      <xdr:nvSpPr>
        <xdr:cNvPr id="2" name="Rectangle: Rounded Corners 1">
          <a:extLst>
            <a:ext uri="{FF2B5EF4-FFF2-40B4-BE49-F238E27FC236}">
              <a16:creationId xmlns:a16="http://schemas.microsoft.com/office/drawing/2014/main" id="{69A76CF9-DAA9-1BA3-0050-E70A5863D114}"/>
            </a:ext>
          </a:extLst>
        </xdr:cNvPr>
        <xdr:cNvSpPr/>
      </xdr:nvSpPr>
      <xdr:spPr>
        <a:xfrm>
          <a:off x="66675" y="95251"/>
          <a:ext cx="9467850" cy="4048124"/>
        </a:xfrm>
        <a:prstGeom prst="roundRect">
          <a:avLst>
            <a:gd name="adj" fmla="val 888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Parameter</a:t>
          </a:r>
          <a:r>
            <a:rPr lang="en-IN" sz="1100" b="1" baseline="0">
              <a:latin typeface="Times New Roman" panose="02020603050405020304" pitchFamily="18" charset="0"/>
              <a:cs typeface="Times New Roman" panose="02020603050405020304" pitchFamily="18" charset="0"/>
            </a:rPr>
            <a:t> Wise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82492</xdr:colOff>
      <xdr:row>27</xdr:row>
      <xdr:rowOff>83173</xdr:rowOff>
    </xdr:from>
    <xdr:to>
      <xdr:col>15</xdr:col>
      <xdr:colOff>523875</xdr:colOff>
      <xdr:row>48</xdr:row>
      <xdr:rowOff>19050</xdr:rowOff>
    </xdr:to>
    <xdr:sp macro="" textlink="">
      <xdr:nvSpPr>
        <xdr:cNvPr id="3" name="Rectangle: Rounded Corners 2">
          <a:extLst>
            <a:ext uri="{FF2B5EF4-FFF2-40B4-BE49-F238E27FC236}">
              <a16:creationId xmlns:a16="http://schemas.microsoft.com/office/drawing/2014/main" id="{8CE274C1-92FE-FD62-94C6-CCE9A1C0D41D}"/>
            </a:ext>
          </a:extLst>
        </xdr:cNvPr>
        <xdr:cNvSpPr/>
      </xdr:nvSpPr>
      <xdr:spPr>
        <a:xfrm>
          <a:off x="82492" y="5226673"/>
          <a:ext cx="9585383" cy="3936377"/>
        </a:xfrm>
        <a:prstGeom prst="roundRect">
          <a:avLst>
            <a:gd name="adj" fmla="val 888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baseline="0">
              <a:latin typeface="Times New Roman" panose="02020603050405020304" pitchFamily="18" charset="0"/>
              <a:cs typeface="Times New Roman" panose="02020603050405020304" pitchFamily="18" charset="0"/>
            </a:rPr>
            <a:t>Stage Wise</a:t>
          </a:r>
          <a:endParaRPr lang="en-IN" sz="1100" b="1">
            <a:latin typeface="Times New Roman" panose="02020603050405020304" pitchFamily="18" charset="0"/>
            <a:cs typeface="Times New Roman" panose="02020603050405020304" pitchFamily="18" charset="0"/>
          </a:endParaRPr>
        </a:p>
      </xdr:txBody>
    </xdr:sp>
    <xdr:clientData/>
  </xdr:twoCellAnchor>
  <xdr:twoCellAnchor editAs="absolute">
    <xdr:from>
      <xdr:col>16</xdr:col>
      <xdr:colOff>485775</xdr:colOff>
      <xdr:row>29</xdr:row>
      <xdr:rowOff>5728</xdr:rowOff>
    </xdr:from>
    <xdr:to>
      <xdr:col>20</xdr:col>
      <xdr:colOff>200024</xdr:colOff>
      <xdr:row>43</xdr:row>
      <xdr:rowOff>114300</xdr:rowOff>
    </xdr:to>
    <mc:AlternateContent xmlns:mc="http://schemas.openxmlformats.org/markup-compatibility/2006" xmlns:sle15="http://schemas.microsoft.com/office/drawing/2012/slicer">
      <mc:Choice Requires="sle15">
        <xdr:graphicFrame macro="">
          <xdr:nvGraphicFramePr>
            <xdr:cNvPr id="4" name="Parameter 1">
              <a:extLst>
                <a:ext uri="{FF2B5EF4-FFF2-40B4-BE49-F238E27FC236}">
                  <a16:creationId xmlns:a16="http://schemas.microsoft.com/office/drawing/2014/main" id="{F5023C86-4E55-46E1-A62F-D12C8B956AFA}"/>
                </a:ext>
              </a:extLst>
            </xdr:cNvPr>
            <xdr:cNvGraphicFramePr/>
          </xdr:nvGraphicFramePr>
          <xdr:xfrm>
            <a:off x="0" y="0"/>
            <a:ext cx="0" cy="0"/>
          </xdr:xfrm>
          <a:graphic>
            <a:graphicData uri="http://schemas.microsoft.com/office/drawing/2010/slicer">
              <sle:slicer xmlns:sle="http://schemas.microsoft.com/office/drawing/2010/slicer" name="Parameter 1"/>
            </a:graphicData>
          </a:graphic>
        </xdr:graphicFrame>
      </mc:Choice>
      <mc:Fallback xmlns="">
        <xdr:sp macro="" textlink="">
          <xdr:nvSpPr>
            <xdr:cNvPr id="0" name=""/>
            <xdr:cNvSpPr>
              <a:spLocks noTextEdit="1"/>
            </xdr:cNvSpPr>
          </xdr:nvSpPr>
          <xdr:spPr>
            <a:xfrm>
              <a:off x="10239375" y="5530228"/>
              <a:ext cx="2152649" cy="27755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542925</xdr:colOff>
      <xdr:row>0</xdr:row>
      <xdr:rowOff>123826</xdr:rowOff>
    </xdr:from>
    <xdr:to>
      <xdr:col>20</xdr:col>
      <xdr:colOff>175532</xdr:colOff>
      <xdr:row>17</xdr:row>
      <xdr:rowOff>180976</xdr:rowOff>
    </xdr:to>
    <mc:AlternateContent xmlns:mc="http://schemas.openxmlformats.org/markup-compatibility/2006" xmlns:sle15="http://schemas.microsoft.com/office/drawing/2012/slicer">
      <mc:Choice Requires="sle15">
        <xdr:graphicFrame macro="">
          <xdr:nvGraphicFramePr>
            <xdr:cNvPr id="5" name="Stages 2">
              <a:extLst>
                <a:ext uri="{FF2B5EF4-FFF2-40B4-BE49-F238E27FC236}">
                  <a16:creationId xmlns:a16="http://schemas.microsoft.com/office/drawing/2014/main" id="{C6786348-C4A7-4CD3-8E1E-E2FE96BAEE8A}"/>
                </a:ext>
              </a:extLst>
            </xdr:cNvPr>
            <xdr:cNvGraphicFramePr/>
          </xdr:nvGraphicFramePr>
          <xdr:xfrm>
            <a:off x="0" y="0"/>
            <a:ext cx="0" cy="0"/>
          </xdr:xfrm>
          <a:graphic>
            <a:graphicData uri="http://schemas.microsoft.com/office/drawing/2010/slicer">
              <sle:slicer xmlns:sle="http://schemas.microsoft.com/office/drawing/2010/slicer" name="Stages 2"/>
            </a:graphicData>
          </a:graphic>
        </xdr:graphicFrame>
      </mc:Choice>
      <mc:Fallback xmlns="">
        <xdr:sp macro="" textlink="">
          <xdr:nvSpPr>
            <xdr:cNvPr id="0" name=""/>
            <xdr:cNvSpPr>
              <a:spLocks noTextEdit="1"/>
            </xdr:cNvSpPr>
          </xdr:nvSpPr>
          <xdr:spPr>
            <a:xfrm>
              <a:off x="9686925" y="123825"/>
              <a:ext cx="2680607" cy="3933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262070</xdr:colOff>
      <xdr:row>29</xdr:row>
      <xdr:rowOff>28575</xdr:rowOff>
    </xdr:from>
    <xdr:to>
      <xdr:col>15</xdr:col>
      <xdr:colOff>304799</xdr:colOff>
      <xdr:row>47</xdr:row>
      <xdr:rowOff>104775</xdr:rowOff>
    </xdr:to>
    <xdr:graphicFrame macro="">
      <xdr:nvGraphicFramePr>
        <xdr:cNvPr id="6" name="Chart 5">
          <a:extLst>
            <a:ext uri="{FF2B5EF4-FFF2-40B4-BE49-F238E27FC236}">
              <a16:creationId xmlns:a16="http://schemas.microsoft.com/office/drawing/2014/main" id="{4AB244BE-29D7-42A6-BB2B-F2A84B50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206828</xdr:colOff>
      <xdr:row>2</xdr:row>
      <xdr:rowOff>85725</xdr:rowOff>
    </xdr:from>
    <xdr:to>
      <xdr:col>15</xdr:col>
      <xdr:colOff>247649</xdr:colOff>
      <xdr:row>20</xdr:row>
      <xdr:rowOff>171451</xdr:rowOff>
    </xdr:to>
    <xdr:graphicFrame macro="">
      <xdr:nvGraphicFramePr>
        <xdr:cNvPr id="7" name="Chart 6">
          <a:extLst>
            <a:ext uri="{FF2B5EF4-FFF2-40B4-BE49-F238E27FC236}">
              <a16:creationId xmlns:a16="http://schemas.microsoft.com/office/drawing/2014/main" id="{9A699FEE-FB28-494F-958D-5C333D5C0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373528</xdr:colOff>
      <xdr:row>7</xdr:row>
      <xdr:rowOff>84044</xdr:rowOff>
    </xdr:from>
    <xdr:to>
      <xdr:col>13</xdr:col>
      <xdr:colOff>429559</xdr:colOff>
      <xdr:row>101</xdr:row>
      <xdr:rowOff>168088</xdr:rowOff>
    </xdr:to>
    <mc:AlternateContent xmlns:mc="http://schemas.openxmlformats.org/markup-compatibility/2006" xmlns:sle15="http://schemas.microsoft.com/office/drawing/2012/slicer">
      <mc:Choice Requires="sle15">
        <xdr:graphicFrame macro="">
          <xdr:nvGraphicFramePr>
            <xdr:cNvPr id="2" name="Parameter">
              <a:extLst>
                <a:ext uri="{FF2B5EF4-FFF2-40B4-BE49-F238E27FC236}">
                  <a16:creationId xmlns:a16="http://schemas.microsoft.com/office/drawing/2014/main" id="{B8769765-AF0C-8281-5235-86C54853EFA9}"/>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5126690" y="466912"/>
              <a:ext cx="5108016" cy="145676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11208</xdr:colOff>
      <xdr:row>187</xdr:row>
      <xdr:rowOff>37353</xdr:rowOff>
    </xdr:from>
    <xdr:to>
      <xdr:col>14</xdr:col>
      <xdr:colOff>149413</xdr:colOff>
      <xdr:row>197</xdr:row>
      <xdr:rowOff>140073</xdr:rowOff>
    </xdr:to>
    <xdr:graphicFrame macro="">
      <xdr:nvGraphicFramePr>
        <xdr:cNvPr id="3" name="Chart 2">
          <a:extLst>
            <a:ext uri="{FF2B5EF4-FFF2-40B4-BE49-F238E27FC236}">
              <a16:creationId xmlns:a16="http://schemas.microsoft.com/office/drawing/2014/main" id="{70C94DE2-87DE-EFE5-D364-0C20B2C83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152400</xdr:colOff>
      <xdr:row>0</xdr:row>
      <xdr:rowOff>76201</xdr:rowOff>
    </xdr:from>
    <xdr:to>
      <xdr:col>15</xdr:col>
      <xdr:colOff>123825</xdr:colOff>
      <xdr:row>7</xdr:row>
      <xdr:rowOff>142875</xdr:rowOff>
    </xdr:to>
    <mc:AlternateContent xmlns:mc="http://schemas.openxmlformats.org/markup-compatibility/2006" xmlns:sle15="http://schemas.microsoft.com/office/drawing/2012/slicer">
      <mc:Choice Requires="sle15">
        <xdr:graphicFrame macro="">
          <xdr:nvGraphicFramePr>
            <xdr:cNvPr id="2" name="Stages 1">
              <a:extLst>
                <a:ext uri="{FF2B5EF4-FFF2-40B4-BE49-F238E27FC236}">
                  <a16:creationId xmlns:a16="http://schemas.microsoft.com/office/drawing/2014/main" id="{BF93B352-A4BB-42DE-6997-A64A47DC01D5}"/>
                </a:ext>
              </a:extLst>
            </xdr:cNvPr>
            <xdr:cNvGraphicFramePr/>
          </xdr:nvGraphicFramePr>
          <xdr:xfrm>
            <a:off x="0" y="0"/>
            <a:ext cx="0" cy="0"/>
          </xdr:xfrm>
          <a:graphic>
            <a:graphicData uri="http://schemas.microsoft.com/office/drawing/2010/slicer">
              <sle:slicer xmlns:sle="http://schemas.microsoft.com/office/drawing/2010/slicer" name="Stages 1"/>
            </a:graphicData>
          </a:graphic>
        </xdr:graphicFrame>
      </mc:Choice>
      <mc:Fallback xmlns="">
        <xdr:sp macro="" textlink="">
          <xdr:nvSpPr>
            <xdr:cNvPr id="0" name=""/>
            <xdr:cNvSpPr>
              <a:spLocks noTextEdit="1"/>
            </xdr:cNvSpPr>
          </xdr:nvSpPr>
          <xdr:spPr>
            <a:xfrm>
              <a:off x="4914900" y="76201"/>
              <a:ext cx="6810375" cy="16478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438149</xdr:colOff>
      <xdr:row>182</xdr:row>
      <xdr:rowOff>142875</xdr:rowOff>
    </xdr:from>
    <xdr:to>
      <xdr:col>13</xdr:col>
      <xdr:colOff>676274</xdr:colOff>
      <xdr:row>204</xdr:row>
      <xdr:rowOff>161925</xdr:rowOff>
    </xdr:to>
    <xdr:graphicFrame macro="">
      <xdr:nvGraphicFramePr>
        <xdr:cNvPr id="3" name="Chart 2">
          <a:extLst>
            <a:ext uri="{FF2B5EF4-FFF2-40B4-BE49-F238E27FC236}">
              <a16:creationId xmlns:a16="http://schemas.microsoft.com/office/drawing/2014/main" id="{0E017EFF-F7D0-6841-BBB5-66721388F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15</xdr:col>
      <xdr:colOff>385280</xdr:colOff>
      <xdr:row>2</xdr:row>
      <xdr:rowOff>53511</xdr:rowOff>
    </xdr:from>
    <xdr:to>
      <xdr:col>20</xdr:col>
      <xdr:colOff>203342</xdr:colOff>
      <xdr:row>134</xdr:row>
      <xdr:rowOff>42809</xdr:rowOff>
    </xdr:to>
    <mc:AlternateContent xmlns:mc="http://schemas.openxmlformats.org/markup-compatibility/2006" xmlns:sle15="http://schemas.microsoft.com/office/drawing/2012/slicer">
      <mc:Choice Requires="sle15">
        <xdr:graphicFrame macro="">
          <xdr:nvGraphicFramePr>
            <xdr:cNvPr id="2" name="Parameters">
              <a:extLst>
                <a:ext uri="{FF2B5EF4-FFF2-40B4-BE49-F238E27FC236}">
                  <a16:creationId xmlns:a16="http://schemas.microsoft.com/office/drawing/2014/main" id="{958725AE-A8AA-E07A-31E1-EFAECEA29434}"/>
                </a:ext>
              </a:extLst>
            </xdr:cNvPr>
            <xdr:cNvGraphicFramePr/>
          </xdr:nvGraphicFramePr>
          <xdr:xfrm>
            <a:off x="0" y="0"/>
            <a:ext cx="0" cy="0"/>
          </xdr:xfrm>
          <a:graphic>
            <a:graphicData uri="http://schemas.microsoft.com/office/drawing/2010/slicer">
              <sle:slicer xmlns:sle="http://schemas.microsoft.com/office/drawing/2010/slicer" name="Parameters"/>
            </a:graphicData>
          </a:graphic>
        </xdr:graphicFrame>
      </mc:Choice>
      <mc:Fallback xmlns="">
        <xdr:sp macro="" textlink="">
          <xdr:nvSpPr>
            <xdr:cNvPr id="0" name=""/>
            <xdr:cNvSpPr>
              <a:spLocks noTextEdit="1"/>
            </xdr:cNvSpPr>
          </xdr:nvSpPr>
          <xdr:spPr>
            <a:xfrm>
              <a:off x="11130336" y="246151"/>
              <a:ext cx="2868203" cy="287890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203307</xdr:colOff>
      <xdr:row>0</xdr:row>
      <xdr:rowOff>192639</xdr:rowOff>
    </xdr:from>
    <xdr:to>
      <xdr:col>15</xdr:col>
      <xdr:colOff>256854</xdr:colOff>
      <xdr:row>156</xdr:row>
      <xdr:rowOff>42809</xdr:rowOff>
    </xdr:to>
    <xdr:graphicFrame macro="">
      <xdr:nvGraphicFramePr>
        <xdr:cNvPr id="5" name="Chart 4">
          <a:extLst>
            <a:ext uri="{FF2B5EF4-FFF2-40B4-BE49-F238E27FC236}">
              <a16:creationId xmlns:a16="http://schemas.microsoft.com/office/drawing/2014/main" id="{EAC4B9D5-926D-A0C6-BBE0-D8C65F8CA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13</xdr:col>
      <xdr:colOff>163626</xdr:colOff>
      <xdr:row>0</xdr:row>
      <xdr:rowOff>152400</xdr:rowOff>
    </xdr:from>
    <xdr:to>
      <xdr:col>18</xdr:col>
      <xdr:colOff>110217</xdr:colOff>
      <xdr:row>156</xdr:row>
      <xdr:rowOff>114300</xdr:rowOff>
    </xdr:to>
    <mc:AlternateContent xmlns:mc="http://schemas.openxmlformats.org/markup-compatibility/2006" xmlns:sle15="http://schemas.microsoft.com/office/drawing/2012/slicer">
      <mc:Choice Requires="sle15">
        <xdr:graphicFrame macro="">
          <xdr:nvGraphicFramePr>
            <xdr:cNvPr id="2" name="Stages">
              <a:extLst>
                <a:ext uri="{FF2B5EF4-FFF2-40B4-BE49-F238E27FC236}">
                  <a16:creationId xmlns:a16="http://schemas.microsoft.com/office/drawing/2014/main" id="{EDF0E733-E86B-5A2D-7958-D015DF0BA8A1}"/>
                </a:ext>
              </a:extLst>
            </xdr:cNvPr>
            <xdr:cNvGraphicFramePr/>
          </xdr:nvGraphicFramePr>
          <xdr:xfrm>
            <a:off x="0" y="0"/>
            <a:ext cx="0" cy="0"/>
          </xdr:xfrm>
          <a:graphic>
            <a:graphicData uri="http://schemas.microsoft.com/office/drawing/2010/slicer">
              <sle:slicer xmlns:sle="http://schemas.microsoft.com/office/drawing/2010/slicer" name="Stages"/>
            </a:graphicData>
          </a:graphic>
        </xdr:graphicFrame>
      </mc:Choice>
      <mc:Fallback xmlns="">
        <xdr:sp macro="" textlink="">
          <xdr:nvSpPr>
            <xdr:cNvPr id="0" name=""/>
            <xdr:cNvSpPr>
              <a:spLocks noTextEdit="1"/>
            </xdr:cNvSpPr>
          </xdr:nvSpPr>
          <xdr:spPr>
            <a:xfrm>
              <a:off x="9402876" y="152400"/>
              <a:ext cx="2994591" cy="2819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200025</xdr:colOff>
      <xdr:row>0</xdr:row>
      <xdr:rowOff>66675</xdr:rowOff>
    </xdr:from>
    <xdr:to>
      <xdr:col>12</xdr:col>
      <xdr:colOff>371474</xdr:colOff>
      <xdr:row>155</xdr:row>
      <xdr:rowOff>85725</xdr:rowOff>
    </xdr:to>
    <xdr:graphicFrame macro="">
      <xdr:nvGraphicFramePr>
        <xdr:cNvPr id="4" name="Chart 3">
          <a:extLst>
            <a:ext uri="{FF2B5EF4-FFF2-40B4-BE49-F238E27FC236}">
              <a16:creationId xmlns:a16="http://schemas.microsoft.com/office/drawing/2014/main" id="{B70A699A-84B7-2256-28DD-57A5BC270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s" xr10:uid="{EC40C9B0-2869-4736-9A2E-80E56F0C6901}" sourceName="Parameters">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s" xr10:uid="{24E4A845-C063-4A99-B5E0-1626A6DCD447}" sourceName="Stages">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655AE872-5AC8-41A6-B11A-FF7CA0093AF9}" sourceName="Parameter">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s1" xr10:uid="{F0870978-B625-4FE6-A76B-D82A29413B36}" sourceName="Stages">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1" xr10:uid="{B55B9309-CECA-4A36-A47E-7D34D9815C26}" cache="Slicer_Parameter" caption="Parameter" columnCount="2" style="SlicerStyleDark4" rowHeight="241300"/>
  <slicer name="Stages 2" xr10:uid="{86493BB1-1094-40A4-B923-C2D10BBD1D70}" cache="Slicer_Stages1" caption="Stages" columnCount="2"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D6299DC0-2B24-41EC-B1E5-CCA4CEA2A005}" cache="Slicer_Parameter" caption="Parameter" columnCoun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s 1" xr10:uid="{38230EA4-60A2-49F5-857E-4506CDD7EF8C}" cache="Slicer_Stages1" caption="Stages" columnCount="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s" xr10:uid="{2DCDBFA0-9665-4B49-B425-C4747A3974AE}" cache="Slicer_Parameters" caption="December 2025 (Parameters Wise)" columnCount="2" style="SlicerStyleOther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s" xr10:uid="{CA5CB74B-68D7-47E5-85E7-A8B76AE78E7B}" cache="Slicer_Stages" caption="December 2025 (Stages Wis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460C0F-BB36-4C17-B87E-F6045FA45694}" name="Table3" displayName="Table3" ref="A1:E179" totalsRowShown="0" headerRowDxfId="26" headerRowBorderDxfId="25" tableBorderDxfId="24" totalsRowBorderDxfId="23">
  <autoFilter ref="A1:E179" xr:uid="{7B460C0F-BB36-4C17-B87E-F6045FA45694}">
    <filterColumn colId="1">
      <filters>
        <filter val="TSS"/>
      </filters>
    </filterColumn>
  </autoFilter>
  <tableColumns count="5">
    <tableColumn id="1" xr3:uid="{0B0D9E4B-C509-46F0-8376-436BCD87E811}" name="Stages" dataDxfId="22"/>
    <tableColumn id="2" xr3:uid="{CCF5BB42-9698-4C76-B598-832C44CAD703}" name="Parameter" dataDxfId="21"/>
    <tableColumn id="3" xr3:uid="{5DB031D0-124F-4B34-AB3A-857A8A7F427D}" name="Maximum" dataDxfId="20"/>
    <tableColumn id="4" xr3:uid="{2C9B7FFE-01C6-4877-9A50-E83D47AFA3CE}" name="Minimum" dataDxfId="19"/>
    <tableColumn id="5" xr3:uid="{30CC5980-8474-4EE1-87F4-16885B02FD26}" name="Average"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1A0DB4-FB37-47A0-B0B6-3BBB5BD221D3}" name="Table4" displayName="Table4" ref="A1:E179" totalsRowShown="0" headerRowDxfId="17" headerRowBorderDxfId="16" tableBorderDxfId="15" totalsRowBorderDxfId="14">
  <autoFilter ref="A1:E179" xr:uid="{931A0DB4-FB37-47A0-B0B6-3BBB5BD221D3}">
    <filterColumn colId="0">
      <filters>
        <filter val="ZLD Plant (I/L)"/>
      </filters>
    </filterColumn>
  </autoFilter>
  <tableColumns count="5">
    <tableColumn id="1" xr3:uid="{1C78161F-5D49-4FB5-8688-82161FF3DD30}" name="Stages" dataDxfId="13"/>
    <tableColumn id="2" xr3:uid="{8C2C63FF-B5EA-4083-ACA9-6F0403176765}" name="Parameter" dataDxfId="12"/>
    <tableColumn id="3" xr3:uid="{A758FE8B-341C-4C7A-BCE3-EA1186F3C7AE}" name="Maximum" dataDxfId="11"/>
    <tableColumn id="4" xr3:uid="{2F8B08B5-DCF8-417A-872D-13F9395EFFBD}" name="Minimum" dataDxfId="10"/>
    <tableColumn id="5" xr3:uid="{862CD808-87A9-44AF-BC28-CF8E85D36AE6}" name="Average"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4746A0-8F2D-48F4-8A29-D3EEDEE527C1}" name="Table1" displayName="Table1" ref="A1:C148" totalsRowShown="0" headerRowDxfId="8" dataDxfId="7">
  <autoFilter ref="A1:C148" xr:uid="{D84746A0-8F2D-48F4-8A29-D3EEDEE527C1}">
    <filterColumn colId="1">
      <filters>
        <filter val="pH"/>
      </filters>
    </filterColumn>
  </autoFilter>
  <tableColumns count="3">
    <tableColumn id="1" xr3:uid="{89C97009-E8F1-4C28-9874-623D77C5E5E6}" name="Stages" dataDxfId="6"/>
    <tableColumn id="2" xr3:uid="{90EC0D51-1681-4768-8441-3659B0C80117}" name="Parameters" dataDxfId="5"/>
    <tableColumn id="3" xr3:uid="{934F8991-03E0-4E05-960E-4BC9BA265687}" name="Averag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70D111-E8FB-489E-A3DE-96B0179D0C0D}" name="Table2" displayName="Table2" ref="A1:C148" totalsRowShown="0" headerRowDxfId="3">
  <autoFilter ref="A1:C148" xr:uid="{4170D111-E8FB-489E-A3DE-96B0179D0C0D}">
    <filterColumn colId="0">
      <filters>
        <filter val="T-513"/>
      </filters>
    </filterColumn>
  </autoFilter>
  <tableColumns count="3">
    <tableColumn id="1" xr3:uid="{2BBDDE47-F1E4-4D86-851E-2265AE7F1BE1}" name="Stages" dataDxfId="2"/>
    <tableColumn id="2" xr3:uid="{37C3EA08-984B-4ED6-ABD9-834ED61C5CC7}" name="Parameters" dataDxfId="1"/>
    <tableColumn id="3" xr3:uid="{5D9EA694-FB20-42B5-963F-483E2B6BAE3F}" name="Aver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B189-AB0A-4EB5-8DF4-7BDC43CEFFA7}">
  <dimension ref="A1:QA37"/>
  <sheetViews>
    <sheetView zoomScale="82" zoomScaleNormal="150" workbookViewId="0">
      <pane xSplit="1" ySplit="2" topLeftCell="B3" activePane="bottomRight" state="frozen"/>
      <selection pane="topRight" activeCell="B1" sqref="B1"/>
      <selection pane="bottomLeft" activeCell="A3" sqref="A3"/>
      <selection pane="bottomRight" activeCell="E43" sqref="E43"/>
    </sheetView>
  </sheetViews>
  <sheetFormatPr defaultRowHeight="15"/>
  <cols>
    <col min="1" max="1" width="11.85546875" customWidth="1"/>
    <col min="3" max="3" width="9.140625" style="14"/>
    <col min="269" max="269" width="11.28515625" customWidth="1"/>
    <col min="282" max="282" width="15.7109375" customWidth="1"/>
  </cols>
  <sheetData>
    <row r="1" spans="1:443" s="24" customFormat="1" ht="66" customHeight="1">
      <c r="A1" s="5" t="s">
        <v>39</v>
      </c>
      <c r="B1" s="6"/>
      <c r="C1" s="58" t="s">
        <v>40</v>
      </c>
      <c r="D1" s="59"/>
      <c r="E1" s="59"/>
      <c r="F1" s="59"/>
      <c r="G1" s="59"/>
      <c r="H1" s="59"/>
      <c r="I1" s="59"/>
      <c r="J1" s="59"/>
      <c r="K1" s="59"/>
      <c r="L1" s="59"/>
      <c r="M1" s="59"/>
      <c r="N1" s="59"/>
      <c r="O1" s="59"/>
      <c r="P1" s="59"/>
      <c r="Q1" s="59"/>
      <c r="R1" s="59"/>
      <c r="S1" s="59"/>
      <c r="T1" s="59"/>
      <c r="U1" s="59"/>
      <c r="V1" s="59"/>
      <c r="W1" s="59"/>
      <c r="X1" s="59"/>
      <c r="Y1" s="59"/>
      <c r="Z1" s="59"/>
      <c r="AA1" s="60"/>
      <c r="AB1" s="61" t="s">
        <v>41</v>
      </c>
      <c r="AC1" s="61"/>
      <c r="AD1" s="61"/>
      <c r="AE1" s="61"/>
      <c r="AF1" s="61"/>
      <c r="AG1" s="61"/>
      <c r="AH1" s="61"/>
      <c r="AI1" s="62" t="s">
        <v>42</v>
      </c>
      <c r="AJ1" s="63"/>
      <c r="AK1" s="63"/>
      <c r="AL1" s="63"/>
      <c r="AM1" s="63"/>
      <c r="AN1" s="64"/>
      <c r="AO1" s="58" t="s">
        <v>43</v>
      </c>
      <c r="AP1" s="59"/>
      <c r="AQ1" s="59"/>
      <c r="AR1" s="59"/>
      <c r="AS1" s="59"/>
      <c r="AT1" s="59"/>
      <c r="AU1" s="59"/>
      <c r="AV1" s="59"/>
      <c r="AW1" s="60"/>
      <c r="AX1" s="58" t="s">
        <v>44</v>
      </c>
      <c r="AY1" s="59"/>
      <c r="AZ1" s="59"/>
      <c r="BA1" s="59"/>
      <c r="BB1" s="59"/>
      <c r="BC1" s="59"/>
      <c r="BD1" s="59"/>
      <c r="BE1" s="59"/>
      <c r="BF1" s="59"/>
      <c r="BG1" s="59"/>
      <c r="BH1" s="59"/>
      <c r="BI1" s="60"/>
      <c r="BJ1" s="58" t="s">
        <v>45</v>
      </c>
      <c r="BK1" s="59"/>
      <c r="BL1" s="59"/>
      <c r="BM1" s="59"/>
      <c r="BN1" s="59"/>
      <c r="BO1" s="59"/>
      <c r="BP1" s="59"/>
      <c r="BQ1" s="59"/>
      <c r="BR1" s="60"/>
      <c r="BS1" s="57" t="s">
        <v>46</v>
      </c>
      <c r="BT1" s="57"/>
      <c r="BU1" s="57" t="s">
        <v>47</v>
      </c>
      <c r="BV1" s="57"/>
      <c r="BW1" s="57"/>
      <c r="BX1" s="57"/>
      <c r="BY1" s="57"/>
      <c r="BZ1" s="57"/>
      <c r="CA1" s="57"/>
      <c r="CB1" s="57"/>
      <c r="CC1" s="57" t="s">
        <v>48</v>
      </c>
      <c r="CD1" s="57"/>
      <c r="CE1" s="57"/>
      <c r="CF1" s="57"/>
      <c r="CG1" s="57"/>
      <c r="CH1" s="57"/>
      <c r="CI1" s="57"/>
      <c r="CJ1" s="57"/>
      <c r="CK1" s="57"/>
      <c r="CL1" s="58" t="s">
        <v>49</v>
      </c>
      <c r="CM1" s="59"/>
      <c r="CN1" s="59"/>
      <c r="CO1" s="59"/>
      <c r="CP1" s="59"/>
      <c r="CQ1" s="59"/>
      <c r="CR1" s="59"/>
      <c r="CS1" s="60"/>
      <c r="CT1" s="57" t="s">
        <v>50</v>
      </c>
      <c r="CU1" s="57"/>
      <c r="CV1" s="57"/>
      <c r="CW1" s="57"/>
      <c r="CX1" s="57"/>
      <c r="CY1" s="57"/>
      <c r="CZ1" s="57"/>
      <c r="DA1" s="57" t="s">
        <v>51</v>
      </c>
      <c r="DB1" s="57"/>
      <c r="DC1" s="57"/>
      <c r="DD1" s="57"/>
      <c r="DE1" s="57"/>
      <c r="DF1" s="57"/>
      <c r="DG1" s="57"/>
      <c r="DH1" s="57"/>
      <c r="DI1" s="57" t="s">
        <v>52</v>
      </c>
      <c r="DJ1" s="57"/>
      <c r="DK1" s="57"/>
      <c r="DL1" s="57"/>
      <c r="DM1" s="57"/>
      <c r="DN1" s="57" t="s">
        <v>53</v>
      </c>
      <c r="DO1" s="57"/>
      <c r="DP1" s="57"/>
      <c r="DQ1" s="57"/>
      <c r="DR1" s="57"/>
      <c r="DS1" s="57"/>
      <c r="DT1" s="57" t="s">
        <v>54</v>
      </c>
      <c r="DU1" s="57"/>
      <c r="DV1" s="57"/>
      <c r="DW1" s="57"/>
      <c r="DX1" s="57" t="s">
        <v>55</v>
      </c>
      <c r="DY1" s="57"/>
      <c r="DZ1" s="57"/>
      <c r="EA1" s="57"/>
      <c r="EB1" s="57"/>
      <c r="EC1" s="57"/>
      <c r="ED1" s="57"/>
      <c r="EE1" s="57"/>
      <c r="EF1" s="57"/>
      <c r="EG1" s="59" t="s">
        <v>56</v>
      </c>
      <c r="EH1" s="59"/>
      <c r="EI1" s="59"/>
      <c r="EJ1" s="59"/>
      <c r="EK1" s="59"/>
      <c r="EL1" s="59"/>
      <c r="EM1" s="59"/>
      <c r="EN1" s="59"/>
      <c r="EO1" s="60"/>
      <c r="EP1" s="65" t="s">
        <v>57</v>
      </c>
      <c r="EQ1" s="66"/>
      <c r="ER1" s="66"/>
      <c r="ES1" s="66"/>
      <c r="ET1" s="66"/>
      <c r="EU1" s="66"/>
      <c r="EV1" s="67"/>
      <c r="EW1" s="65" t="s">
        <v>58</v>
      </c>
      <c r="EX1" s="66"/>
      <c r="EY1" s="66"/>
      <c r="EZ1" s="66"/>
      <c r="FA1" s="66"/>
      <c r="FB1" s="66"/>
      <c r="FC1" s="66"/>
      <c r="FD1" s="67"/>
      <c r="FE1" s="65" t="s">
        <v>59</v>
      </c>
      <c r="FF1" s="66"/>
      <c r="FG1" s="66"/>
      <c r="FH1" s="66"/>
      <c r="FI1" s="66"/>
      <c r="FJ1" s="66"/>
      <c r="FK1" s="66"/>
      <c r="FL1" s="67"/>
      <c r="FM1" s="65" t="s">
        <v>60</v>
      </c>
      <c r="FN1" s="66"/>
      <c r="FO1" s="66"/>
      <c r="FP1" s="66"/>
      <c r="FQ1" s="66"/>
      <c r="FR1" s="66"/>
      <c r="FS1" s="67"/>
      <c r="FT1" s="65" t="s">
        <v>61</v>
      </c>
      <c r="FU1" s="66"/>
      <c r="FV1" s="66"/>
      <c r="FW1" s="66"/>
      <c r="FX1" s="66"/>
      <c r="FY1" s="66"/>
      <c r="FZ1" s="67"/>
      <c r="GA1" s="57" t="s">
        <v>62</v>
      </c>
      <c r="GB1" s="57"/>
      <c r="GC1" s="57"/>
      <c r="GD1" s="57"/>
      <c r="GE1" s="57"/>
      <c r="GF1" s="57"/>
      <c r="GG1" s="57"/>
      <c r="GH1" s="57"/>
      <c r="GI1" s="57"/>
      <c r="GJ1" s="57" t="s">
        <v>63</v>
      </c>
      <c r="GK1" s="57"/>
      <c r="GL1" s="57"/>
      <c r="GM1" s="57"/>
      <c r="GN1" s="57"/>
      <c r="GO1" s="57"/>
      <c r="GP1" s="57"/>
      <c r="GQ1" s="57"/>
      <c r="GR1" s="57"/>
      <c r="GS1" s="58" t="s">
        <v>84</v>
      </c>
      <c r="GT1" s="59"/>
      <c r="GU1" s="59"/>
      <c r="GV1" s="59"/>
      <c r="GW1" s="59"/>
      <c r="GX1" s="59"/>
      <c r="GY1" s="59"/>
      <c r="GZ1" s="59"/>
      <c r="HA1" s="59"/>
      <c r="HB1" s="58" t="s">
        <v>64</v>
      </c>
      <c r="HC1" s="59"/>
      <c r="HD1" s="59"/>
      <c r="HE1" s="59"/>
      <c r="HF1" s="59"/>
      <c r="HG1" s="59"/>
      <c r="HH1" s="60"/>
      <c r="HI1" s="58" t="s">
        <v>65</v>
      </c>
      <c r="HJ1" s="59"/>
      <c r="HK1" s="59"/>
      <c r="HL1" s="59"/>
      <c r="HM1" s="59"/>
      <c r="HN1" s="59"/>
      <c r="HO1" s="59"/>
      <c r="HP1" s="60"/>
      <c r="HQ1" s="58" t="s">
        <v>66</v>
      </c>
      <c r="HR1" s="59"/>
      <c r="HS1" s="59"/>
      <c r="HT1" s="59"/>
      <c r="HU1" s="59"/>
      <c r="HV1" s="59"/>
      <c r="HW1" s="59"/>
      <c r="HX1" s="60"/>
      <c r="HY1" s="58" t="s">
        <v>67</v>
      </c>
      <c r="HZ1" s="59"/>
      <c r="IA1" s="59"/>
      <c r="IB1" s="59"/>
      <c r="IC1" s="59"/>
      <c r="ID1" s="59"/>
      <c r="IE1" s="60"/>
      <c r="IF1" s="58" t="s">
        <v>68</v>
      </c>
      <c r="IG1" s="59"/>
      <c r="IH1" s="59"/>
      <c r="II1" s="59"/>
      <c r="IJ1" s="59"/>
      <c r="IK1" s="59"/>
      <c r="IL1" s="59"/>
      <c r="IM1" s="60"/>
      <c r="IN1" s="58" t="s">
        <v>69</v>
      </c>
      <c r="IO1" s="59"/>
      <c r="IP1" s="59"/>
      <c r="IQ1" s="59"/>
      <c r="IR1" s="59"/>
      <c r="IS1" s="59"/>
      <c r="IT1" s="60"/>
      <c r="IU1" s="58" t="s">
        <v>14</v>
      </c>
      <c r="IV1" s="59"/>
      <c r="IW1" s="59"/>
      <c r="IX1" s="59"/>
      <c r="IY1" s="59"/>
      <c r="IZ1" s="59"/>
      <c r="JA1" s="59"/>
      <c r="JB1" s="60"/>
      <c r="JC1" s="57" t="s">
        <v>15</v>
      </c>
      <c r="JD1" s="57"/>
      <c r="JE1" s="57"/>
      <c r="JF1" s="57"/>
      <c r="JG1" s="57"/>
      <c r="JH1" s="57"/>
      <c r="JI1" s="7" t="s">
        <v>70</v>
      </c>
      <c r="JJ1" s="65" t="s">
        <v>71</v>
      </c>
      <c r="JK1" s="66"/>
      <c r="JL1" s="66"/>
      <c r="JM1" s="66"/>
      <c r="JN1" s="66"/>
      <c r="JO1" s="67"/>
      <c r="JP1" s="65" t="s">
        <v>72</v>
      </c>
      <c r="JQ1" s="66"/>
      <c r="JR1" s="66"/>
      <c r="JS1" s="66"/>
      <c r="JT1" s="66"/>
      <c r="JU1" s="67"/>
      <c r="JV1" s="7" t="s">
        <v>73</v>
      </c>
      <c r="JW1" s="65" t="s">
        <v>74</v>
      </c>
      <c r="JX1" s="66"/>
      <c r="JY1" s="66"/>
      <c r="JZ1" s="66"/>
      <c r="KA1" s="66"/>
      <c r="KB1" s="67"/>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row>
    <row r="2" spans="1:443" s="36" customFormat="1" ht="82.5" customHeight="1">
      <c r="A2" s="27"/>
      <c r="B2" s="27"/>
      <c r="C2" s="28" t="s">
        <v>38</v>
      </c>
      <c r="D2" s="28" t="s">
        <v>0</v>
      </c>
      <c r="E2" s="29" t="s">
        <v>104</v>
      </c>
      <c r="F2" s="30" t="s">
        <v>85</v>
      </c>
      <c r="G2" s="30" t="s">
        <v>86</v>
      </c>
      <c r="H2" s="30" t="s">
        <v>87</v>
      </c>
      <c r="I2" s="30" t="s">
        <v>88</v>
      </c>
      <c r="J2" s="30" t="s">
        <v>115</v>
      </c>
      <c r="K2" s="30" t="s">
        <v>89</v>
      </c>
      <c r="L2" s="31" t="s">
        <v>0</v>
      </c>
      <c r="M2" s="32" t="s">
        <v>1</v>
      </c>
      <c r="N2" s="32" t="s">
        <v>2</v>
      </c>
      <c r="O2" s="32" t="s">
        <v>4</v>
      </c>
      <c r="P2" s="32" t="s">
        <v>6</v>
      </c>
      <c r="Q2" s="32" t="s">
        <v>75</v>
      </c>
      <c r="R2" s="32" t="s">
        <v>76</v>
      </c>
      <c r="S2" s="31" t="s">
        <v>0</v>
      </c>
      <c r="T2" s="32" t="s">
        <v>1</v>
      </c>
      <c r="U2" s="32" t="s">
        <v>2</v>
      </c>
      <c r="V2" s="32" t="s">
        <v>3</v>
      </c>
      <c r="W2" s="32" t="s">
        <v>4</v>
      </c>
      <c r="X2" s="32" t="s">
        <v>7</v>
      </c>
      <c r="Y2" s="30" t="s">
        <v>101</v>
      </c>
      <c r="Z2" s="30" t="s">
        <v>5</v>
      </c>
      <c r="AA2" s="30" t="s">
        <v>37</v>
      </c>
      <c r="AB2" s="31" t="s">
        <v>121</v>
      </c>
      <c r="AC2" s="32" t="s">
        <v>90</v>
      </c>
      <c r="AD2" s="32" t="s">
        <v>103</v>
      </c>
      <c r="AE2" s="31" t="s">
        <v>116</v>
      </c>
      <c r="AF2" s="32" t="s">
        <v>98</v>
      </c>
      <c r="AG2" s="31" t="s">
        <v>106</v>
      </c>
      <c r="AH2" s="32" t="s">
        <v>107</v>
      </c>
      <c r="AI2" s="31" t="s">
        <v>0</v>
      </c>
      <c r="AJ2" s="32" t="s">
        <v>85</v>
      </c>
      <c r="AK2" s="33" t="s">
        <v>86</v>
      </c>
      <c r="AL2" s="31" t="s">
        <v>115</v>
      </c>
      <c r="AM2" s="32" t="s">
        <v>89</v>
      </c>
      <c r="AN2" s="32" t="s">
        <v>6</v>
      </c>
      <c r="AO2" s="30" t="s">
        <v>105</v>
      </c>
      <c r="AP2" s="28" t="s">
        <v>81</v>
      </c>
      <c r="AQ2" s="30" t="s">
        <v>85</v>
      </c>
      <c r="AR2" s="30" t="s">
        <v>86</v>
      </c>
      <c r="AS2" s="30" t="s">
        <v>91</v>
      </c>
      <c r="AT2" s="30" t="s">
        <v>88</v>
      </c>
      <c r="AU2" s="28" t="s">
        <v>115</v>
      </c>
      <c r="AV2" s="30" t="s">
        <v>89</v>
      </c>
      <c r="AW2" s="30" t="s">
        <v>6</v>
      </c>
      <c r="AX2" s="28" t="s">
        <v>0</v>
      </c>
      <c r="AY2" s="30" t="s">
        <v>108</v>
      </c>
      <c r="AZ2" s="30" t="s">
        <v>92</v>
      </c>
      <c r="BA2" s="30" t="s">
        <v>86</v>
      </c>
      <c r="BB2" s="30" t="s">
        <v>111</v>
      </c>
      <c r="BC2" s="30" t="s">
        <v>112</v>
      </c>
      <c r="BD2" s="30" t="s">
        <v>109</v>
      </c>
      <c r="BE2" s="30" t="s">
        <v>93</v>
      </c>
      <c r="BF2" s="30" t="s">
        <v>94</v>
      </c>
      <c r="BG2" s="30" t="s">
        <v>95</v>
      </c>
      <c r="BH2" s="28" t="s">
        <v>77</v>
      </c>
      <c r="BI2" s="28" t="s">
        <v>6</v>
      </c>
      <c r="BJ2" s="30" t="s">
        <v>104</v>
      </c>
      <c r="BK2" s="28" t="s">
        <v>0</v>
      </c>
      <c r="BL2" s="30" t="s">
        <v>96</v>
      </c>
      <c r="BM2" s="30" t="s">
        <v>85</v>
      </c>
      <c r="BN2" s="30" t="s">
        <v>86</v>
      </c>
      <c r="BO2" s="30" t="s">
        <v>91</v>
      </c>
      <c r="BP2" s="30" t="s">
        <v>89</v>
      </c>
      <c r="BQ2" s="30" t="s">
        <v>88</v>
      </c>
      <c r="BR2" s="28" t="s">
        <v>115</v>
      </c>
      <c r="BS2" s="30" t="s">
        <v>94</v>
      </c>
      <c r="BT2" s="30" t="s">
        <v>120</v>
      </c>
      <c r="BU2" s="28" t="s">
        <v>0</v>
      </c>
      <c r="BV2" s="30" t="s">
        <v>85</v>
      </c>
      <c r="BW2" s="30" t="s">
        <v>86</v>
      </c>
      <c r="BX2" s="30" t="s">
        <v>91</v>
      </c>
      <c r="BY2" s="30" t="s">
        <v>89</v>
      </c>
      <c r="BZ2" s="30" t="s">
        <v>93</v>
      </c>
      <c r="CA2" s="30" t="s">
        <v>94</v>
      </c>
      <c r="CB2" s="30" t="s">
        <v>95</v>
      </c>
      <c r="CC2" s="28" t="s">
        <v>113</v>
      </c>
      <c r="CD2" s="30" t="s">
        <v>114</v>
      </c>
      <c r="CE2" s="30" t="s">
        <v>86</v>
      </c>
      <c r="CF2" s="30" t="s">
        <v>91</v>
      </c>
      <c r="CG2" s="30" t="s">
        <v>89</v>
      </c>
      <c r="CH2" s="30" t="s">
        <v>93</v>
      </c>
      <c r="CI2" s="30" t="s">
        <v>94</v>
      </c>
      <c r="CJ2" s="30" t="s">
        <v>95</v>
      </c>
      <c r="CK2" s="30" t="s">
        <v>110</v>
      </c>
      <c r="CL2" s="28" t="s">
        <v>0</v>
      </c>
      <c r="CM2" s="30" t="s">
        <v>88</v>
      </c>
      <c r="CN2" s="30" t="s">
        <v>85</v>
      </c>
      <c r="CO2" s="30" t="s">
        <v>86</v>
      </c>
      <c r="CP2" s="30" t="s">
        <v>91</v>
      </c>
      <c r="CQ2" s="30" t="s">
        <v>89</v>
      </c>
      <c r="CR2" s="29" t="s">
        <v>115</v>
      </c>
      <c r="CS2" s="29" t="s">
        <v>6</v>
      </c>
      <c r="CT2" s="28" t="s">
        <v>0</v>
      </c>
      <c r="CU2" s="30" t="s">
        <v>85</v>
      </c>
      <c r="CV2" s="30" t="s">
        <v>86</v>
      </c>
      <c r="CW2" s="30" t="s">
        <v>91</v>
      </c>
      <c r="CX2" s="28" t="s">
        <v>88</v>
      </c>
      <c r="CY2" s="28" t="s">
        <v>89</v>
      </c>
      <c r="CZ2" s="28" t="s">
        <v>115</v>
      </c>
      <c r="DA2" s="28" t="s">
        <v>0</v>
      </c>
      <c r="DB2" s="30" t="s">
        <v>85</v>
      </c>
      <c r="DC2" s="30" t="s">
        <v>86</v>
      </c>
      <c r="DD2" s="28" t="s">
        <v>89</v>
      </c>
      <c r="DE2" s="28" t="s">
        <v>88</v>
      </c>
      <c r="DF2" s="28" t="s">
        <v>97</v>
      </c>
      <c r="DG2" s="28" t="s">
        <v>91</v>
      </c>
      <c r="DH2" s="28" t="s">
        <v>117</v>
      </c>
      <c r="DI2" s="31" t="s">
        <v>0</v>
      </c>
      <c r="DJ2" s="32" t="s">
        <v>1</v>
      </c>
      <c r="DK2" s="32" t="s">
        <v>2</v>
      </c>
      <c r="DL2" s="31" t="s">
        <v>4</v>
      </c>
      <c r="DM2" s="31" t="s">
        <v>7</v>
      </c>
      <c r="DN2" s="31" t="s">
        <v>0</v>
      </c>
      <c r="DO2" s="32" t="s">
        <v>1</v>
      </c>
      <c r="DP2" s="32" t="s">
        <v>2</v>
      </c>
      <c r="DQ2" s="31" t="s">
        <v>4</v>
      </c>
      <c r="DR2" s="31" t="s">
        <v>12</v>
      </c>
      <c r="DS2" s="31" t="s">
        <v>78</v>
      </c>
      <c r="DT2" s="31" t="s">
        <v>79</v>
      </c>
      <c r="DU2" s="31" t="s">
        <v>80</v>
      </c>
      <c r="DV2" s="31"/>
      <c r="DW2" s="31"/>
      <c r="DX2" s="28" t="s">
        <v>0</v>
      </c>
      <c r="DY2" s="28" t="s">
        <v>1</v>
      </c>
      <c r="DZ2" s="28" t="s">
        <v>2</v>
      </c>
      <c r="EA2" s="28" t="s">
        <v>3</v>
      </c>
      <c r="EB2" s="28" t="s">
        <v>4</v>
      </c>
      <c r="EC2" s="28" t="s">
        <v>12</v>
      </c>
      <c r="ED2" s="28" t="s">
        <v>7</v>
      </c>
      <c r="EE2" s="28" t="s">
        <v>6</v>
      </c>
      <c r="EF2" s="28" t="s">
        <v>37</v>
      </c>
      <c r="EG2" s="28" t="s">
        <v>0</v>
      </c>
      <c r="EH2" s="28" t="s">
        <v>1</v>
      </c>
      <c r="EI2" s="28" t="s">
        <v>2</v>
      </c>
      <c r="EJ2" s="28" t="s">
        <v>3</v>
      </c>
      <c r="EK2" s="28" t="s">
        <v>4</v>
      </c>
      <c r="EL2" s="28" t="s">
        <v>12</v>
      </c>
      <c r="EM2" s="28" t="s">
        <v>7</v>
      </c>
      <c r="EN2" s="28" t="s">
        <v>6</v>
      </c>
      <c r="EO2" s="28" t="s">
        <v>37</v>
      </c>
      <c r="EP2" s="28" t="s">
        <v>0</v>
      </c>
      <c r="EQ2" s="28" t="s">
        <v>1</v>
      </c>
      <c r="ER2" s="28" t="s">
        <v>2</v>
      </c>
      <c r="ES2" s="28" t="s">
        <v>4</v>
      </c>
      <c r="ET2" s="28" t="s">
        <v>12</v>
      </c>
      <c r="EU2" s="28" t="s">
        <v>6</v>
      </c>
      <c r="EV2" s="28" t="s">
        <v>37</v>
      </c>
      <c r="EW2" s="28" t="s">
        <v>0</v>
      </c>
      <c r="EX2" s="28" t="s">
        <v>1</v>
      </c>
      <c r="EY2" s="28" t="s">
        <v>2</v>
      </c>
      <c r="EZ2" s="28" t="s">
        <v>3</v>
      </c>
      <c r="FA2" s="28" t="s">
        <v>4</v>
      </c>
      <c r="FB2" s="28" t="s">
        <v>12</v>
      </c>
      <c r="FC2" s="28" t="s">
        <v>6</v>
      </c>
      <c r="FD2" s="28" t="s">
        <v>37</v>
      </c>
      <c r="FE2" s="28" t="s">
        <v>0</v>
      </c>
      <c r="FF2" s="28" t="s">
        <v>1</v>
      </c>
      <c r="FG2" s="28" t="s">
        <v>2</v>
      </c>
      <c r="FH2" s="28" t="s">
        <v>4</v>
      </c>
      <c r="FI2" s="28" t="s">
        <v>12</v>
      </c>
      <c r="FJ2" s="28" t="s">
        <v>6</v>
      </c>
      <c r="FK2" s="28" t="s">
        <v>7</v>
      </c>
      <c r="FL2" s="28" t="s">
        <v>37</v>
      </c>
      <c r="FM2" s="32" t="s">
        <v>0</v>
      </c>
      <c r="FN2" s="32" t="s">
        <v>1</v>
      </c>
      <c r="FO2" s="32" t="s">
        <v>2</v>
      </c>
      <c r="FP2" s="32" t="s">
        <v>4</v>
      </c>
      <c r="FQ2" s="32" t="s">
        <v>12</v>
      </c>
      <c r="FR2" s="32" t="s">
        <v>6</v>
      </c>
      <c r="FS2" s="32" t="s">
        <v>7</v>
      </c>
      <c r="FT2" s="32" t="s">
        <v>0</v>
      </c>
      <c r="FU2" s="32" t="s">
        <v>1</v>
      </c>
      <c r="FV2" s="32" t="s">
        <v>2</v>
      </c>
      <c r="FW2" s="32" t="s">
        <v>4</v>
      </c>
      <c r="FX2" s="32" t="s">
        <v>12</v>
      </c>
      <c r="FY2" s="32" t="s">
        <v>6</v>
      </c>
      <c r="FZ2" s="32" t="s">
        <v>7</v>
      </c>
      <c r="GA2" s="31" t="s">
        <v>0</v>
      </c>
      <c r="GB2" s="32" t="s">
        <v>85</v>
      </c>
      <c r="GC2" s="32" t="s">
        <v>86</v>
      </c>
      <c r="GD2" s="32" t="s">
        <v>118</v>
      </c>
      <c r="GE2" s="32" t="s">
        <v>98</v>
      </c>
      <c r="GF2" s="32" t="s">
        <v>88</v>
      </c>
      <c r="GG2" s="32" t="s">
        <v>91</v>
      </c>
      <c r="GH2" s="32" t="s">
        <v>97</v>
      </c>
      <c r="GI2" s="32" t="s">
        <v>122</v>
      </c>
      <c r="GJ2" s="31" t="s">
        <v>0</v>
      </c>
      <c r="GK2" s="32" t="s">
        <v>85</v>
      </c>
      <c r="GL2" s="32" t="s">
        <v>86</v>
      </c>
      <c r="GM2" s="31" t="s">
        <v>119</v>
      </c>
      <c r="GN2" s="32" t="s">
        <v>98</v>
      </c>
      <c r="GO2" s="32" t="s">
        <v>99</v>
      </c>
      <c r="GP2" s="32" t="s">
        <v>100</v>
      </c>
      <c r="GQ2" s="32" t="s">
        <v>101</v>
      </c>
      <c r="GR2" s="32" t="s">
        <v>123</v>
      </c>
      <c r="GS2" s="31" t="s">
        <v>0</v>
      </c>
      <c r="GT2" s="32" t="s">
        <v>102</v>
      </c>
      <c r="GU2" s="32" t="s">
        <v>103</v>
      </c>
      <c r="GV2" s="31" t="s">
        <v>119</v>
      </c>
      <c r="GW2" s="32" t="s">
        <v>98</v>
      </c>
      <c r="GX2" s="32" t="s">
        <v>99</v>
      </c>
      <c r="GY2" s="32" t="s">
        <v>100</v>
      </c>
      <c r="GZ2" s="32" t="s">
        <v>101</v>
      </c>
      <c r="HA2" s="32" t="s">
        <v>123</v>
      </c>
      <c r="HB2" s="28" t="s">
        <v>81</v>
      </c>
      <c r="HC2" s="30" t="s">
        <v>85</v>
      </c>
      <c r="HD2" s="30" t="s">
        <v>86</v>
      </c>
      <c r="HE2" s="30" t="s">
        <v>89</v>
      </c>
      <c r="HF2" s="30" t="s">
        <v>88</v>
      </c>
      <c r="HG2" s="30" t="s">
        <v>97</v>
      </c>
      <c r="HH2" s="30" t="s">
        <v>122</v>
      </c>
      <c r="HI2" s="28" t="s">
        <v>0</v>
      </c>
      <c r="HJ2" s="30" t="s">
        <v>85</v>
      </c>
      <c r="HK2" s="30" t="s">
        <v>86</v>
      </c>
      <c r="HL2" s="30" t="s">
        <v>91</v>
      </c>
      <c r="HM2" s="30" t="s">
        <v>89</v>
      </c>
      <c r="HN2" s="30" t="s">
        <v>88</v>
      </c>
      <c r="HO2" s="30" t="s">
        <v>97</v>
      </c>
      <c r="HP2" s="30" t="s">
        <v>124</v>
      </c>
      <c r="HQ2" s="28" t="s">
        <v>0</v>
      </c>
      <c r="HR2" s="30" t="s">
        <v>85</v>
      </c>
      <c r="HS2" s="30" t="s">
        <v>86</v>
      </c>
      <c r="HT2" s="30" t="s">
        <v>89</v>
      </c>
      <c r="HU2" s="30" t="s">
        <v>88</v>
      </c>
      <c r="HV2" s="30" t="s">
        <v>97</v>
      </c>
      <c r="HW2" s="30" t="s">
        <v>115</v>
      </c>
      <c r="HX2" s="30" t="s">
        <v>122</v>
      </c>
      <c r="HY2" s="28" t="s">
        <v>0</v>
      </c>
      <c r="HZ2" s="30" t="s">
        <v>85</v>
      </c>
      <c r="IA2" s="30" t="s">
        <v>86</v>
      </c>
      <c r="IB2" s="30" t="s">
        <v>89</v>
      </c>
      <c r="IC2" s="30" t="s">
        <v>88</v>
      </c>
      <c r="ID2" s="30" t="s">
        <v>97</v>
      </c>
      <c r="IE2" s="30" t="s">
        <v>122</v>
      </c>
      <c r="IF2" s="28" t="s">
        <v>0</v>
      </c>
      <c r="IG2" s="30" t="s">
        <v>85</v>
      </c>
      <c r="IH2" s="30" t="s">
        <v>86</v>
      </c>
      <c r="II2" s="30" t="s">
        <v>91</v>
      </c>
      <c r="IJ2" s="30" t="s">
        <v>89</v>
      </c>
      <c r="IK2" s="30" t="s">
        <v>88</v>
      </c>
      <c r="IL2" s="30" t="s">
        <v>97</v>
      </c>
      <c r="IM2" s="30" t="s">
        <v>125</v>
      </c>
      <c r="IN2" s="28" t="s">
        <v>0</v>
      </c>
      <c r="IO2" s="30" t="s">
        <v>85</v>
      </c>
      <c r="IP2" s="30" t="s">
        <v>86</v>
      </c>
      <c r="IQ2" s="30" t="s">
        <v>89</v>
      </c>
      <c r="IR2" s="30" t="s">
        <v>88</v>
      </c>
      <c r="IS2" s="30" t="s">
        <v>97</v>
      </c>
      <c r="IT2" s="30" t="s">
        <v>124</v>
      </c>
      <c r="IU2" s="34" t="s">
        <v>0</v>
      </c>
      <c r="IV2" s="30" t="s">
        <v>85</v>
      </c>
      <c r="IW2" s="30" t="s">
        <v>86</v>
      </c>
      <c r="IX2" s="30" t="s">
        <v>89</v>
      </c>
      <c r="IY2" s="30" t="s">
        <v>3</v>
      </c>
      <c r="IZ2" s="30" t="s">
        <v>12</v>
      </c>
      <c r="JA2" s="30" t="s">
        <v>7</v>
      </c>
      <c r="JB2" s="30" t="s">
        <v>6</v>
      </c>
      <c r="JC2" s="28" t="s">
        <v>81</v>
      </c>
      <c r="JD2" s="30" t="s">
        <v>85</v>
      </c>
      <c r="JE2" s="30" t="s">
        <v>86</v>
      </c>
      <c r="JF2" s="30" t="s">
        <v>3</v>
      </c>
      <c r="JG2" s="30" t="s">
        <v>89</v>
      </c>
      <c r="JH2" s="30" t="s">
        <v>6</v>
      </c>
      <c r="JI2" s="32" t="s">
        <v>80</v>
      </c>
      <c r="JJ2" s="31" t="s">
        <v>0</v>
      </c>
      <c r="JK2" s="32" t="s">
        <v>1</v>
      </c>
      <c r="JL2" s="32" t="s">
        <v>2</v>
      </c>
      <c r="JM2" s="32" t="s">
        <v>4</v>
      </c>
      <c r="JN2" s="32" t="s">
        <v>12</v>
      </c>
      <c r="JO2" s="32" t="s">
        <v>7</v>
      </c>
      <c r="JP2" s="31" t="s">
        <v>0</v>
      </c>
      <c r="JQ2" s="32" t="s">
        <v>1</v>
      </c>
      <c r="JR2" s="32" t="s">
        <v>2</v>
      </c>
      <c r="JS2" s="32" t="s">
        <v>4</v>
      </c>
      <c r="JT2" s="32" t="s">
        <v>12</v>
      </c>
      <c r="JU2" s="32" t="s">
        <v>7</v>
      </c>
      <c r="JV2" s="32" t="s">
        <v>80</v>
      </c>
      <c r="JW2" s="31" t="s">
        <v>0</v>
      </c>
      <c r="JX2" s="32" t="s">
        <v>1</v>
      </c>
      <c r="JY2" s="32" t="s">
        <v>2</v>
      </c>
      <c r="JZ2" s="32" t="s">
        <v>4</v>
      </c>
      <c r="KA2" s="32" t="s">
        <v>12</v>
      </c>
      <c r="KB2" s="32" t="s">
        <v>7</v>
      </c>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row>
    <row r="3" spans="1:443" s="25" customFormat="1">
      <c r="A3" s="17">
        <v>45658</v>
      </c>
      <c r="B3" s="12"/>
      <c r="C3" s="11">
        <v>3.5</v>
      </c>
      <c r="D3" s="10">
        <v>7.67</v>
      </c>
      <c r="E3" s="10">
        <v>22.7</v>
      </c>
      <c r="F3" s="10">
        <v>742</v>
      </c>
      <c r="G3" s="10">
        <v>3491.5</v>
      </c>
      <c r="H3" s="10">
        <v>2400</v>
      </c>
      <c r="I3" s="10">
        <v>126</v>
      </c>
      <c r="J3" s="10">
        <v>38.099999999999994</v>
      </c>
      <c r="K3" s="10">
        <v>125</v>
      </c>
      <c r="L3" s="21"/>
      <c r="M3" s="21"/>
      <c r="N3" s="21"/>
      <c r="O3" s="21"/>
      <c r="P3" s="21"/>
      <c r="Q3" s="21"/>
      <c r="R3" s="21"/>
      <c r="S3" s="21"/>
      <c r="T3" s="21"/>
      <c r="U3" s="21"/>
      <c r="V3" s="21"/>
      <c r="W3" s="21"/>
      <c r="X3" s="21"/>
      <c r="Y3" s="10">
        <v>16</v>
      </c>
      <c r="Z3" s="10">
        <v>4</v>
      </c>
      <c r="AA3" s="10">
        <v>3067</v>
      </c>
      <c r="AB3" s="21"/>
      <c r="AC3" s="21"/>
      <c r="AD3" s="21"/>
      <c r="AE3" s="21"/>
      <c r="AF3" s="21"/>
      <c r="AG3" s="21"/>
      <c r="AH3" s="21"/>
      <c r="AI3" s="21"/>
      <c r="AJ3" s="21"/>
      <c r="AK3" s="21"/>
      <c r="AL3" s="21"/>
      <c r="AM3" s="21"/>
      <c r="AN3" s="21"/>
      <c r="AO3" s="10">
        <v>22.700000000000003</v>
      </c>
      <c r="AP3" s="10">
        <v>6.48</v>
      </c>
      <c r="AQ3" s="10">
        <v>1016</v>
      </c>
      <c r="AR3" s="10">
        <v>3440.5</v>
      </c>
      <c r="AS3" s="10">
        <v>1950</v>
      </c>
      <c r="AT3" s="10">
        <v>84</v>
      </c>
      <c r="AU3" s="10">
        <v>29.7</v>
      </c>
      <c r="AV3" s="10">
        <v>121</v>
      </c>
      <c r="AW3" s="10">
        <v>101</v>
      </c>
      <c r="AX3" s="10">
        <v>6.543333333333333</v>
      </c>
      <c r="AY3" s="10">
        <v>343</v>
      </c>
      <c r="AZ3" s="10">
        <v>1523.3333333333333</v>
      </c>
      <c r="BA3" s="10">
        <v>465.33333333333331</v>
      </c>
      <c r="BB3" s="10">
        <v>135</v>
      </c>
      <c r="BC3" s="10">
        <v>127.66666666666667</v>
      </c>
      <c r="BD3" s="10">
        <v>2</v>
      </c>
      <c r="BE3" s="10">
        <v>3.5</v>
      </c>
      <c r="BF3" s="10">
        <v>3986</v>
      </c>
      <c r="BG3" s="10">
        <v>2386</v>
      </c>
      <c r="BH3" s="10">
        <v>0.59</v>
      </c>
      <c r="BI3" s="10">
        <v>101</v>
      </c>
      <c r="BJ3" s="10">
        <v>24.166666666666668</v>
      </c>
      <c r="BK3" s="10">
        <v>6.6966666666666663</v>
      </c>
      <c r="BL3" s="10">
        <v>332</v>
      </c>
      <c r="BM3" s="10">
        <v>1575.6666666666667</v>
      </c>
      <c r="BN3" s="10">
        <v>470.66666666666669</v>
      </c>
      <c r="BO3" s="10">
        <v>105</v>
      </c>
      <c r="BP3" s="10">
        <v>197.66666666666666</v>
      </c>
      <c r="BQ3" s="10">
        <v>6</v>
      </c>
      <c r="BR3" s="10">
        <v>5.1000000000000005</v>
      </c>
      <c r="BS3" s="10">
        <v>4885</v>
      </c>
      <c r="BT3" s="10">
        <v>2935</v>
      </c>
      <c r="BU3" s="10">
        <v>7.2666666666666666</v>
      </c>
      <c r="BV3" s="10">
        <v>1482.3333333333333</v>
      </c>
      <c r="BW3" s="10">
        <v>458.66666666666669</v>
      </c>
      <c r="BX3" s="10">
        <v>78</v>
      </c>
      <c r="BY3" s="10">
        <v>125.66666666666667</v>
      </c>
      <c r="BZ3" s="10">
        <v>4.5</v>
      </c>
      <c r="CA3" s="10">
        <v>2658</v>
      </c>
      <c r="CB3" s="10">
        <v>1538</v>
      </c>
      <c r="CC3" s="10">
        <v>7.2600000000000007</v>
      </c>
      <c r="CD3" s="10">
        <v>1475.3333333333333</v>
      </c>
      <c r="CE3" s="10">
        <v>452.66666666666669</v>
      </c>
      <c r="CF3" s="10">
        <v>72</v>
      </c>
      <c r="CG3" s="10">
        <v>125</v>
      </c>
      <c r="CH3" s="10">
        <v>5</v>
      </c>
      <c r="CI3" s="10">
        <v>2365</v>
      </c>
      <c r="CJ3" s="10">
        <v>1423</v>
      </c>
      <c r="CK3" s="10">
        <v>1.2433333333333334</v>
      </c>
      <c r="CL3" s="10">
        <v>7.77</v>
      </c>
      <c r="CM3" s="10">
        <v>162</v>
      </c>
      <c r="CN3" s="10">
        <v>1434.5</v>
      </c>
      <c r="CO3" s="10">
        <v>470</v>
      </c>
      <c r="CP3" s="10">
        <v>48</v>
      </c>
      <c r="CQ3" s="10">
        <v>132.5</v>
      </c>
      <c r="CR3" s="10">
        <v>29.150000000000002</v>
      </c>
      <c r="CS3" s="10">
        <v>141</v>
      </c>
      <c r="CT3" s="10">
        <v>7.7350000000000003</v>
      </c>
      <c r="CU3" s="10">
        <v>1387</v>
      </c>
      <c r="CV3" s="10">
        <v>466</v>
      </c>
      <c r="CW3" s="10">
        <v>42</v>
      </c>
      <c r="CX3" s="10">
        <v>132</v>
      </c>
      <c r="CY3" s="10">
        <v>130</v>
      </c>
      <c r="CZ3" s="10">
        <v>34.049999999999997</v>
      </c>
      <c r="DA3" s="10">
        <v>7.73</v>
      </c>
      <c r="DB3" s="10">
        <v>1432</v>
      </c>
      <c r="DC3" s="10">
        <v>474.5</v>
      </c>
      <c r="DD3" s="10">
        <v>134.5</v>
      </c>
      <c r="DE3" s="10">
        <v>106</v>
      </c>
      <c r="DF3" s="10">
        <v>118.5</v>
      </c>
      <c r="DG3" s="10">
        <v>40</v>
      </c>
      <c r="DH3" s="10">
        <v>31.299999999999997</v>
      </c>
      <c r="DI3" s="21"/>
      <c r="DJ3" s="21"/>
      <c r="DK3" s="21"/>
      <c r="DL3" s="21"/>
      <c r="DM3" s="21"/>
      <c r="DN3" s="21"/>
      <c r="DO3" s="21"/>
      <c r="DP3" s="21"/>
      <c r="DQ3" s="21"/>
      <c r="DR3" s="21"/>
      <c r="DS3" s="21"/>
      <c r="DT3" s="21"/>
      <c r="DU3" s="21"/>
      <c r="DV3" s="21"/>
      <c r="DW3" s="21"/>
      <c r="DX3" s="10">
        <v>7.5250000000000004</v>
      </c>
      <c r="DY3" s="10">
        <v>1436.5</v>
      </c>
      <c r="DZ3" s="10">
        <v>466</v>
      </c>
      <c r="EA3" s="10">
        <v>33</v>
      </c>
      <c r="EB3" s="10">
        <v>127.5</v>
      </c>
      <c r="EC3" s="10">
        <v>118</v>
      </c>
      <c r="ED3" s="10">
        <v>26.4</v>
      </c>
      <c r="EE3" s="10">
        <v>135.5</v>
      </c>
      <c r="EF3" s="10">
        <v>2114.5</v>
      </c>
      <c r="EG3" s="10">
        <v>5.41</v>
      </c>
      <c r="EH3" s="10">
        <v>1463</v>
      </c>
      <c r="EI3" s="10">
        <v>437</v>
      </c>
      <c r="EJ3" s="10">
        <v>27</v>
      </c>
      <c r="EK3" s="10">
        <v>122</v>
      </c>
      <c r="EL3" s="10">
        <v>10</v>
      </c>
      <c r="EM3" s="10">
        <v>1.5649999999999999</v>
      </c>
      <c r="EN3" s="10">
        <v>118</v>
      </c>
      <c r="EO3" s="10">
        <v>364.5</v>
      </c>
      <c r="EP3" s="10">
        <v>6.65</v>
      </c>
      <c r="EQ3" s="10">
        <v>1509</v>
      </c>
      <c r="ER3" s="10">
        <v>428</v>
      </c>
      <c r="ES3" s="10">
        <v>112</v>
      </c>
      <c r="ET3" s="10">
        <v>2</v>
      </c>
      <c r="EU3" s="10">
        <v>131</v>
      </c>
      <c r="EV3" s="10">
        <v>249</v>
      </c>
      <c r="EW3" s="10">
        <v>6.08</v>
      </c>
      <c r="EX3" s="10">
        <v>72.209999999999994</v>
      </c>
      <c r="EY3" s="10">
        <v>4</v>
      </c>
      <c r="EZ3" s="10">
        <v>2</v>
      </c>
      <c r="FA3" s="10">
        <v>7</v>
      </c>
      <c r="FB3" s="10">
        <v>2</v>
      </c>
      <c r="FC3" s="10">
        <v>4</v>
      </c>
      <c r="FD3" s="10">
        <v>10.715</v>
      </c>
      <c r="FE3" s="10">
        <v>7.26</v>
      </c>
      <c r="FF3" s="10">
        <v>4236</v>
      </c>
      <c r="FG3" s="10">
        <v>1713</v>
      </c>
      <c r="FH3" s="10">
        <v>509</v>
      </c>
      <c r="FI3" s="10">
        <v>16</v>
      </c>
      <c r="FJ3" s="10">
        <v>404</v>
      </c>
      <c r="FK3" s="10">
        <v>2.0099999999999998</v>
      </c>
      <c r="FL3" s="10">
        <v>1840</v>
      </c>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10"/>
      <c r="HC3" s="10"/>
      <c r="HD3" s="10"/>
      <c r="HE3" s="10"/>
      <c r="HF3" s="10"/>
      <c r="HG3" s="10"/>
      <c r="HH3" s="10"/>
      <c r="HI3" s="10"/>
      <c r="HJ3" s="10"/>
      <c r="HK3" s="10"/>
      <c r="HL3" s="10"/>
      <c r="HM3" s="10"/>
      <c r="HN3" s="10"/>
      <c r="HO3" s="10"/>
      <c r="HP3" s="10"/>
      <c r="HQ3" s="10"/>
      <c r="HR3" s="10"/>
      <c r="HS3" s="10"/>
      <c r="HT3" s="10"/>
      <c r="HU3" s="10"/>
      <c r="HV3" s="10"/>
      <c r="HW3" s="10"/>
      <c r="HX3" s="10"/>
      <c r="HY3" s="10">
        <v>7.17</v>
      </c>
      <c r="HZ3" s="10">
        <v>4263</v>
      </c>
      <c r="IA3" s="10">
        <v>1611</v>
      </c>
      <c r="IB3" s="10">
        <v>502</v>
      </c>
      <c r="IC3" s="10">
        <v>2</v>
      </c>
      <c r="ID3" s="10">
        <v>383</v>
      </c>
      <c r="IE3" s="10">
        <v>788</v>
      </c>
      <c r="IF3" s="10">
        <v>7.19</v>
      </c>
      <c r="IG3" s="10">
        <v>1448</v>
      </c>
      <c r="IH3" s="10">
        <v>228</v>
      </c>
      <c r="II3" s="10">
        <v>2</v>
      </c>
      <c r="IJ3" s="10">
        <v>93</v>
      </c>
      <c r="IK3" s="10">
        <v>2</v>
      </c>
      <c r="IL3" s="10">
        <v>66</v>
      </c>
      <c r="IM3" s="10">
        <v>82.632000000000005</v>
      </c>
      <c r="IN3" s="10">
        <v>7.48</v>
      </c>
      <c r="IO3" s="10">
        <v>12090</v>
      </c>
      <c r="IP3" s="10">
        <v>264</v>
      </c>
      <c r="IQ3" s="10">
        <v>844</v>
      </c>
      <c r="IR3" s="10">
        <v>6</v>
      </c>
      <c r="IS3" s="10">
        <v>844</v>
      </c>
      <c r="IT3" s="10">
        <v>750</v>
      </c>
      <c r="IU3" s="10">
        <v>6.1050000000000004</v>
      </c>
      <c r="IV3" s="10">
        <v>1483.5</v>
      </c>
      <c r="IW3" s="10">
        <v>437.5</v>
      </c>
      <c r="IX3" s="10">
        <v>120.5</v>
      </c>
      <c r="IY3" s="10">
        <v>36</v>
      </c>
      <c r="IZ3" s="10">
        <v>4</v>
      </c>
      <c r="JA3" s="10">
        <v>1.1600000000000001</v>
      </c>
      <c r="JB3" s="10">
        <v>149</v>
      </c>
      <c r="JC3" s="10">
        <v>6.3949999999999996</v>
      </c>
      <c r="JD3" s="10">
        <v>73.58</v>
      </c>
      <c r="JE3" s="10">
        <v>16</v>
      </c>
      <c r="JF3" s="10">
        <v>2</v>
      </c>
      <c r="JG3" s="10">
        <v>6</v>
      </c>
      <c r="JH3" s="10">
        <v>5</v>
      </c>
      <c r="JI3" s="21"/>
      <c r="JJ3" s="21"/>
      <c r="JK3" s="21"/>
      <c r="JL3" s="21"/>
      <c r="JM3" s="21"/>
      <c r="JN3" s="21"/>
      <c r="JO3" s="21"/>
      <c r="JP3" s="21"/>
      <c r="JQ3" s="21"/>
      <c r="JR3" s="21"/>
      <c r="JS3" s="21"/>
      <c r="JT3" s="21"/>
      <c r="JU3" s="21"/>
      <c r="JV3" s="21"/>
      <c r="JW3" s="21"/>
      <c r="JX3" s="21"/>
      <c r="JY3" s="21"/>
      <c r="JZ3" s="21"/>
      <c r="KA3" s="21"/>
      <c r="KB3" s="21"/>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row>
    <row r="4" spans="1:443" s="26" customFormat="1">
      <c r="A4" s="17">
        <v>45659</v>
      </c>
      <c r="B4" s="15"/>
      <c r="C4" s="11">
        <v>3.5</v>
      </c>
      <c r="D4" s="10">
        <v>7.52</v>
      </c>
      <c r="E4" s="10">
        <v>22.950000000000003</v>
      </c>
      <c r="F4" s="10">
        <v>933.5</v>
      </c>
      <c r="G4" s="10">
        <v>3132</v>
      </c>
      <c r="H4" s="10">
        <v>2400</v>
      </c>
      <c r="I4" s="10">
        <v>72</v>
      </c>
      <c r="J4" s="10">
        <v>50.3</v>
      </c>
      <c r="K4" s="10">
        <v>105</v>
      </c>
      <c r="L4" s="21"/>
      <c r="M4" s="21"/>
      <c r="N4" s="21"/>
      <c r="O4" s="21"/>
      <c r="P4" s="21"/>
      <c r="Q4" s="21"/>
      <c r="R4" s="21"/>
      <c r="S4" s="21"/>
      <c r="T4" s="21"/>
      <c r="U4" s="21"/>
      <c r="V4" s="21"/>
      <c r="W4" s="21"/>
      <c r="X4" s="21"/>
      <c r="Y4" s="10">
        <v>20.5</v>
      </c>
      <c r="Z4" s="10">
        <v>4</v>
      </c>
      <c r="AA4" s="10">
        <v>3833</v>
      </c>
      <c r="AB4" s="23"/>
      <c r="AC4" s="23"/>
      <c r="AD4" s="23"/>
      <c r="AE4" s="23"/>
      <c r="AF4" s="23"/>
      <c r="AG4" s="23"/>
      <c r="AH4" s="23"/>
      <c r="AI4" s="23"/>
      <c r="AJ4" s="23"/>
      <c r="AK4" s="23"/>
      <c r="AL4" s="23"/>
      <c r="AM4" s="23"/>
      <c r="AN4" s="23"/>
      <c r="AO4" s="10">
        <v>22.95</v>
      </c>
      <c r="AP4" s="10">
        <v>6.9749999999999996</v>
      </c>
      <c r="AQ4" s="10">
        <v>1005</v>
      </c>
      <c r="AR4" s="10">
        <v>3488</v>
      </c>
      <c r="AS4" s="10">
        <v>1950</v>
      </c>
      <c r="AT4" s="10">
        <v>83</v>
      </c>
      <c r="AU4" s="10">
        <v>28</v>
      </c>
      <c r="AV4" s="10">
        <v>120.5</v>
      </c>
      <c r="AW4" s="10">
        <v>45</v>
      </c>
      <c r="AX4" s="10">
        <v>7.5066666666666668</v>
      </c>
      <c r="AY4" s="10">
        <v>384</v>
      </c>
      <c r="AZ4" s="10">
        <v>1385</v>
      </c>
      <c r="BA4" s="10">
        <v>500</v>
      </c>
      <c r="BB4" s="10">
        <v>165</v>
      </c>
      <c r="BC4" s="10">
        <v>123.33333333333333</v>
      </c>
      <c r="BD4" s="10">
        <v>2</v>
      </c>
      <c r="BE4" s="10">
        <v>3.7</v>
      </c>
      <c r="BF4" s="10">
        <v>6992</v>
      </c>
      <c r="BG4" s="10">
        <v>3896</v>
      </c>
      <c r="BH4" s="10">
        <v>0.55000000000000004</v>
      </c>
      <c r="BI4" s="10">
        <v>80</v>
      </c>
      <c r="BJ4" s="10">
        <v>22.9</v>
      </c>
      <c r="BK4" s="10">
        <v>6.7149999999999999</v>
      </c>
      <c r="BL4" s="10">
        <v>364</v>
      </c>
      <c r="BM4" s="10">
        <v>1371.5</v>
      </c>
      <c r="BN4" s="10">
        <v>517</v>
      </c>
      <c r="BO4" s="10">
        <v>105</v>
      </c>
      <c r="BP4" s="10">
        <v>126</v>
      </c>
      <c r="BQ4" s="10">
        <v>18</v>
      </c>
      <c r="BR4" s="10">
        <v>6.15</v>
      </c>
      <c r="BS4" s="10">
        <v>5865</v>
      </c>
      <c r="BT4" s="10">
        <v>3526</v>
      </c>
      <c r="BU4" s="10">
        <v>7.5333333333333341</v>
      </c>
      <c r="BV4" s="10">
        <v>1379</v>
      </c>
      <c r="BW4" s="10">
        <v>494.33333333333331</v>
      </c>
      <c r="BX4" s="10">
        <v>96</v>
      </c>
      <c r="BY4" s="10">
        <v>120.33333333333333</v>
      </c>
      <c r="BZ4" s="10">
        <v>4.9000000000000004</v>
      </c>
      <c r="CA4" s="10">
        <v>4852</v>
      </c>
      <c r="CB4" s="10">
        <v>3011</v>
      </c>
      <c r="CC4" s="10">
        <v>7.996666666666667</v>
      </c>
      <c r="CD4" s="10">
        <v>1404.6666666666667</v>
      </c>
      <c r="CE4" s="10">
        <v>489.33333333333331</v>
      </c>
      <c r="CF4" s="10">
        <v>78</v>
      </c>
      <c r="CG4" s="10">
        <v>118</v>
      </c>
      <c r="CH4" s="10">
        <v>5.2</v>
      </c>
      <c r="CI4" s="10">
        <v>3865</v>
      </c>
      <c r="CJ4" s="10">
        <v>2510</v>
      </c>
      <c r="CK4" s="10">
        <v>1</v>
      </c>
      <c r="CL4" s="10">
        <v>7.72</v>
      </c>
      <c r="CM4" s="10">
        <v>100</v>
      </c>
      <c r="CN4" s="10">
        <v>1320</v>
      </c>
      <c r="CO4" s="10">
        <v>498.5</v>
      </c>
      <c r="CP4" s="10">
        <v>48</v>
      </c>
      <c r="CQ4" s="10">
        <v>126</v>
      </c>
      <c r="CR4" s="10">
        <v>35.4</v>
      </c>
      <c r="CS4" s="10">
        <v>75</v>
      </c>
      <c r="CT4" s="10">
        <v>7.6850000000000005</v>
      </c>
      <c r="CU4" s="10">
        <v>1341.5</v>
      </c>
      <c r="CV4" s="10">
        <v>492.5</v>
      </c>
      <c r="CW4" s="10">
        <v>39</v>
      </c>
      <c r="CX4" s="10">
        <v>98</v>
      </c>
      <c r="CY4" s="10">
        <v>124</v>
      </c>
      <c r="CZ4" s="10">
        <v>31.849999999999998</v>
      </c>
      <c r="DA4" s="10">
        <v>8</v>
      </c>
      <c r="DB4" s="10">
        <v>1364</v>
      </c>
      <c r="DC4" s="10">
        <v>490.5</v>
      </c>
      <c r="DD4" s="10">
        <v>127</v>
      </c>
      <c r="DE4" s="10">
        <v>29.7</v>
      </c>
      <c r="DF4" s="10">
        <v>88</v>
      </c>
      <c r="DG4" s="10">
        <v>39</v>
      </c>
      <c r="DH4" s="10">
        <v>74.55</v>
      </c>
      <c r="DI4" s="21"/>
      <c r="DJ4" s="21"/>
      <c r="DK4" s="21"/>
      <c r="DL4" s="21"/>
      <c r="DM4" s="21"/>
      <c r="DN4" s="21"/>
      <c r="DO4" s="21"/>
      <c r="DP4" s="21"/>
      <c r="DQ4" s="21"/>
      <c r="DR4" s="21"/>
      <c r="DS4" s="21"/>
      <c r="DT4" s="21"/>
      <c r="DU4" s="21"/>
      <c r="DV4" s="21"/>
      <c r="DW4" s="21"/>
      <c r="DX4" s="10">
        <v>7.75</v>
      </c>
      <c r="DY4" s="10">
        <v>1380</v>
      </c>
      <c r="DZ4" s="10">
        <v>453</v>
      </c>
      <c r="EA4" s="10">
        <v>24</v>
      </c>
      <c r="EB4" s="10">
        <v>119</v>
      </c>
      <c r="EC4" s="10">
        <v>130</v>
      </c>
      <c r="ED4" s="10">
        <v>29.9</v>
      </c>
      <c r="EE4" s="10">
        <v>115</v>
      </c>
      <c r="EF4" s="10">
        <v>3015</v>
      </c>
      <c r="EG4" s="10">
        <v>6.5</v>
      </c>
      <c r="EH4" s="10">
        <v>1395</v>
      </c>
      <c r="EI4" s="10">
        <v>449</v>
      </c>
      <c r="EJ4" s="10">
        <v>27</v>
      </c>
      <c r="EK4" s="10">
        <v>113</v>
      </c>
      <c r="EL4" s="10">
        <v>3</v>
      </c>
      <c r="EM4" s="10">
        <v>1.34</v>
      </c>
      <c r="EN4" s="10">
        <v>100</v>
      </c>
      <c r="EO4" s="10">
        <v>298</v>
      </c>
      <c r="EP4" s="10">
        <v>4.88</v>
      </c>
      <c r="EQ4" s="10">
        <v>1369</v>
      </c>
      <c r="ER4" s="10">
        <v>433</v>
      </c>
      <c r="ES4" s="10">
        <v>111</v>
      </c>
      <c r="ET4" s="10">
        <v>8</v>
      </c>
      <c r="EU4" s="10">
        <v>80</v>
      </c>
      <c r="EV4" s="10">
        <v>30</v>
      </c>
      <c r="EW4" s="10">
        <v>4.21</v>
      </c>
      <c r="EX4" s="10">
        <v>74.239999999999995</v>
      </c>
      <c r="EY4" s="10">
        <v>16</v>
      </c>
      <c r="EZ4" s="10">
        <v>2</v>
      </c>
      <c r="FA4" s="10">
        <v>5</v>
      </c>
      <c r="FB4" s="10">
        <v>2</v>
      </c>
      <c r="FC4" s="10">
        <v>8</v>
      </c>
      <c r="FD4" s="10">
        <v>10.35</v>
      </c>
      <c r="FE4" s="10">
        <v>5.17</v>
      </c>
      <c r="FF4" s="10">
        <v>5636</v>
      </c>
      <c r="FG4" s="10">
        <v>1598</v>
      </c>
      <c r="FH4" s="10">
        <v>174</v>
      </c>
      <c r="FI4" s="10">
        <v>12</v>
      </c>
      <c r="FJ4" s="10">
        <v>250</v>
      </c>
      <c r="FK4" s="10">
        <v>2.2999999999999998</v>
      </c>
      <c r="FL4" s="10">
        <v>1138</v>
      </c>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10"/>
      <c r="HC4" s="10"/>
      <c r="HD4" s="10"/>
      <c r="HE4" s="10"/>
      <c r="HF4" s="10"/>
      <c r="HG4" s="10"/>
      <c r="HH4" s="10"/>
      <c r="HI4" s="10"/>
      <c r="HJ4" s="10"/>
      <c r="HK4" s="10"/>
      <c r="HL4" s="10"/>
      <c r="HM4" s="10"/>
      <c r="HN4" s="10"/>
      <c r="HO4" s="10"/>
      <c r="HP4" s="10"/>
      <c r="HQ4" s="10"/>
      <c r="HR4" s="10"/>
      <c r="HS4" s="10"/>
      <c r="HT4" s="10"/>
      <c r="HU4" s="10"/>
      <c r="HV4" s="10"/>
      <c r="HW4" s="10"/>
      <c r="HX4" s="10"/>
      <c r="HY4" s="10">
        <v>5.64</v>
      </c>
      <c r="HZ4" s="10">
        <v>5625</v>
      </c>
      <c r="IA4" s="10">
        <v>1558</v>
      </c>
      <c r="IB4" s="10">
        <v>167</v>
      </c>
      <c r="IC4" s="10">
        <v>18</v>
      </c>
      <c r="ID4" s="10">
        <v>265</v>
      </c>
      <c r="IE4" s="10">
        <v>803</v>
      </c>
      <c r="IF4" s="10">
        <v>5.44</v>
      </c>
      <c r="IG4" s="10">
        <v>1170</v>
      </c>
      <c r="IH4" s="10">
        <v>137</v>
      </c>
      <c r="II4" s="10">
        <v>2</v>
      </c>
      <c r="IJ4" s="10">
        <v>55</v>
      </c>
      <c r="IK4" s="10">
        <v>2</v>
      </c>
      <c r="IL4" s="10">
        <v>52</v>
      </c>
      <c r="IM4" s="10">
        <v>78.352000000000004</v>
      </c>
      <c r="IN4" s="10">
        <v>6.71</v>
      </c>
      <c r="IO4" s="10">
        <v>8646</v>
      </c>
      <c r="IP4" s="10">
        <v>2064</v>
      </c>
      <c r="IQ4" s="10">
        <v>448</v>
      </c>
      <c r="IR4" s="10">
        <v>30</v>
      </c>
      <c r="IS4" s="10">
        <v>425</v>
      </c>
      <c r="IT4" s="10">
        <v>833</v>
      </c>
      <c r="IU4" s="10">
        <v>7.1300000000000008</v>
      </c>
      <c r="IV4" s="10">
        <v>1376.5</v>
      </c>
      <c r="IW4" s="10">
        <v>456</v>
      </c>
      <c r="IX4" s="10">
        <v>115.5</v>
      </c>
      <c r="IY4" s="10">
        <v>29</v>
      </c>
      <c r="IZ4" s="10">
        <v>8</v>
      </c>
      <c r="JA4" s="10">
        <v>2.2450000000000001</v>
      </c>
      <c r="JB4" s="10">
        <v>90.5</v>
      </c>
      <c r="JC4" s="10">
        <v>7.48</v>
      </c>
      <c r="JD4" s="10">
        <v>79.790000000000006</v>
      </c>
      <c r="JE4" s="10">
        <v>20</v>
      </c>
      <c r="JF4" s="10">
        <v>2</v>
      </c>
      <c r="JG4" s="10">
        <v>6</v>
      </c>
      <c r="JH4" s="10">
        <v>12</v>
      </c>
      <c r="JI4" s="21"/>
      <c r="JJ4" s="21"/>
      <c r="JK4" s="21"/>
      <c r="JL4" s="21"/>
      <c r="JM4" s="21"/>
      <c r="JN4" s="21"/>
      <c r="JO4" s="21"/>
      <c r="JP4" s="21"/>
      <c r="JQ4" s="21"/>
      <c r="JR4" s="21"/>
      <c r="JS4" s="21"/>
      <c r="JT4" s="21"/>
      <c r="JU4" s="21"/>
      <c r="JV4" s="21"/>
      <c r="JW4" s="21"/>
      <c r="JX4" s="21"/>
      <c r="JY4" s="21"/>
      <c r="JZ4" s="21"/>
      <c r="KA4" s="21"/>
      <c r="KB4" s="21"/>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row>
    <row r="5" spans="1:443" s="26" customFormat="1">
      <c r="A5" s="17">
        <v>45660</v>
      </c>
      <c r="B5" s="15"/>
      <c r="C5" s="16">
        <v>4</v>
      </c>
      <c r="D5" s="10">
        <v>7.52</v>
      </c>
      <c r="E5" s="10">
        <v>22.950000000000003</v>
      </c>
      <c r="F5" s="10">
        <v>933.5</v>
      </c>
      <c r="G5" s="10">
        <v>3132</v>
      </c>
      <c r="H5" s="10">
        <v>2400</v>
      </c>
      <c r="I5" s="10">
        <v>72</v>
      </c>
      <c r="J5" s="10">
        <v>50.3</v>
      </c>
      <c r="K5" s="10">
        <v>105</v>
      </c>
      <c r="L5" s="21"/>
      <c r="M5" s="21"/>
      <c r="N5" s="21"/>
      <c r="O5" s="21"/>
      <c r="P5" s="21"/>
      <c r="Q5" s="21"/>
      <c r="R5" s="21"/>
      <c r="S5" s="21"/>
      <c r="T5" s="21"/>
      <c r="U5" s="21"/>
      <c r="V5" s="21"/>
      <c r="W5" s="21"/>
      <c r="X5" s="21"/>
      <c r="Y5" s="10">
        <v>20.5</v>
      </c>
      <c r="Z5" s="10">
        <v>4</v>
      </c>
      <c r="AA5" s="10">
        <v>3833</v>
      </c>
      <c r="AB5" s="23"/>
      <c r="AC5" s="23"/>
      <c r="AD5" s="23"/>
      <c r="AE5" s="23"/>
      <c r="AF5" s="23"/>
      <c r="AG5" s="23"/>
      <c r="AH5" s="23"/>
      <c r="AI5" s="23"/>
      <c r="AJ5" s="23"/>
      <c r="AK5" s="23"/>
      <c r="AL5" s="23"/>
      <c r="AM5" s="23"/>
      <c r="AN5" s="23"/>
      <c r="AO5" s="10">
        <v>22.95</v>
      </c>
      <c r="AP5" s="10">
        <v>6.9749999999999996</v>
      </c>
      <c r="AQ5" s="10">
        <v>1005</v>
      </c>
      <c r="AR5" s="10">
        <v>3488</v>
      </c>
      <c r="AS5" s="10">
        <v>1950</v>
      </c>
      <c r="AT5" s="10">
        <v>83</v>
      </c>
      <c r="AU5" s="10">
        <v>28</v>
      </c>
      <c r="AV5" s="10">
        <v>120.5</v>
      </c>
      <c r="AW5" s="10">
        <v>45</v>
      </c>
      <c r="AX5" s="10">
        <v>7.5066666666666668</v>
      </c>
      <c r="AY5" s="10">
        <v>384</v>
      </c>
      <c r="AZ5" s="10">
        <v>1385</v>
      </c>
      <c r="BA5" s="10">
        <v>500</v>
      </c>
      <c r="BB5" s="10">
        <v>150</v>
      </c>
      <c r="BC5" s="10">
        <v>123.33333333333333</v>
      </c>
      <c r="BD5" s="10">
        <v>2</v>
      </c>
      <c r="BE5" s="10">
        <v>3.5</v>
      </c>
      <c r="BF5" s="10">
        <v>6992</v>
      </c>
      <c r="BG5" s="10">
        <v>3896</v>
      </c>
      <c r="BH5" s="10">
        <v>0.55000000000000004</v>
      </c>
      <c r="BI5" s="10">
        <v>80</v>
      </c>
      <c r="BJ5" s="10">
        <v>22.9</v>
      </c>
      <c r="BK5" s="10">
        <v>6.7149999999999999</v>
      </c>
      <c r="BL5" s="10">
        <v>364</v>
      </c>
      <c r="BM5" s="10">
        <v>1371.5</v>
      </c>
      <c r="BN5" s="10">
        <v>517</v>
      </c>
      <c r="BO5" s="10">
        <v>105</v>
      </c>
      <c r="BP5" s="10">
        <v>126</v>
      </c>
      <c r="BQ5" s="10">
        <v>18</v>
      </c>
      <c r="BR5" s="10">
        <v>6.15</v>
      </c>
      <c r="BS5" s="10">
        <v>5865</v>
      </c>
      <c r="BT5" s="10">
        <v>3526</v>
      </c>
      <c r="BU5" s="10">
        <v>7.5333333333333341</v>
      </c>
      <c r="BV5" s="10">
        <v>1379</v>
      </c>
      <c r="BW5" s="10">
        <v>494.33333333333331</v>
      </c>
      <c r="BX5" s="10">
        <v>84</v>
      </c>
      <c r="BY5" s="10">
        <v>120.33333333333333</v>
      </c>
      <c r="BZ5" s="10">
        <v>3.8</v>
      </c>
      <c r="CA5" s="10">
        <v>4852</v>
      </c>
      <c r="CB5" s="10">
        <v>3011</v>
      </c>
      <c r="CC5" s="10">
        <v>7.996666666666667</v>
      </c>
      <c r="CD5" s="10">
        <v>1404.6666666666667</v>
      </c>
      <c r="CE5" s="10">
        <v>489.33333333333331</v>
      </c>
      <c r="CF5" s="10">
        <v>60</v>
      </c>
      <c r="CG5" s="10">
        <v>118</v>
      </c>
      <c r="CH5" s="10">
        <v>4.2</v>
      </c>
      <c r="CI5" s="10">
        <v>3865</v>
      </c>
      <c r="CJ5" s="10">
        <v>2510</v>
      </c>
      <c r="CK5" s="10">
        <v>1</v>
      </c>
      <c r="CL5" s="10">
        <v>7.72</v>
      </c>
      <c r="CM5" s="10">
        <v>100</v>
      </c>
      <c r="CN5" s="10">
        <v>1320</v>
      </c>
      <c r="CO5" s="10">
        <v>498.5</v>
      </c>
      <c r="CP5" s="10">
        <v>48</v>
      </c>
      <c r="CQ5" s="10">
        <v>126</v>
      </c>
      <c r="CR5" s="10">
        <v>35.4</v>
      </c>
      <c r="CS5" s="10">
        <v>75</v>
      </c>
      <c r="CT5" s="10">
        <v>7.6850000000000005</v>
      </c>
      <c r="CU5" s="10">
        <v>1341.5</v>
      </c>
      <c r="CV5" s="10">
        <v>492.5</v>
      </c>
      <c r="CW5" s="10">
        <v>39</v>
      </c>
      <c r="CX5" s="10">
        <v>98</v>
      </c>
      <c r="CY5" s="10">
        <v>124</v>
      </c>
      <c r="CZ5" s="10">
        <v>31.849999999999998</v>
      </c>
      <c r="DA5" s="10">
        <v>8</v>
      </c>
      <c r="DB5" s="10">
        <v>1364</v>
      </c>
      <c r="DC5" s="10">
        <v>490.5</v>
      </c>
      <c r="DD5" s="10">
        <v>127</v>
      </c>
      <c r="DE5" s="10">
        <v>29.7</v>
      </c>
      <c r="DF5" s="10">
        <v>88</v>
      </c>
      <c r="DG5" s="10">
        <v>39</v>
      </c>
      <c r="DH5" s="10">
        <v>74.55</v>
      </c>
      <c r="DI5" s="21"/>
      <c r="DJ5" s="21"/>
      <c r="DK5" s="21"/>
      <c r="DL5" s="21"/>
      <c r="DM5" s="21"/>
      <c r="DN5" s="21"/>
      <c r="DO5" s="21"/>
      <c r="DP5" s="21"/>
      <c r="DQ5" s="21"/>
      <c r="DR5" s="21"/>
      <c r="DS5" s="21"/>
      <c r="DT5" s="21"/>
      <c r="DU5" s="21"/>
      <c r="DV5" s="21"/>
      <c r="DW5" s="21"/>
      <c r="DX5" s="10">
        <v>7.75</v>
      </c>
      <c r="DY5" s="10">
        <v>1380</v>
      </c>
      <c r="DZ5" s="10">
        <v>453</v>
      </c>
      <c r="EA5" s="10">
        <v>24</v>
      </c>
      <c r="EB5" s="10">
        <v>119</v>
      </c>
      <c r="EC5" s="10">
        <v>130</v>
      </c>
      <c r="ED5" s="10">
        <v>29.9</v>
      </c>
      <c r="EE5" s="10">
        <v>115</v>
      </c>
      <c r="EF5" s="10">
        <v>3015</v>
      </c>
      <c r="EG5" s="10">
        <v>6.5</v>
      </c>
      <c r="EH5" s="10">
        <v>1395</v>
      </c>
      <c r="EI5" s="10">
        <v>449</v>
      </c>
      <c r="EJ5" s="10">
        <v>27</v>
      </c>
      <c r="EK5" s="10">
        <v>113</v>
      </c>
      <c r="EL5" s="10">
        <v>3</v>
      </c>
      <c r="EM5" s="10">
        <v>1.34</v>
      </c>
      <c r="EN5" s="10">
        <v>100</v>
      </c>
      <c r="EO5" s="10">
        <v>298</v>
      </c>
      <c r="EP5" s="10">
        <v>4.88</v>
      </c>
      <c r="EQ5" s="10">
        <v>1369</v>
      </c>
      <c r="ER5" s="10">
        <v>433</v>
      </c>
      <c r="ES5" s="10">
        <v>111</v>
      </c>
      <c r="ET5" s="10">
        <v>8</v>
      </c>
      <c r="EU5" s="10">
        <v>80</v>
      </c>
      <c r="EV5" s="10">
        <v>30</v>
      </c>
      <c r="EW5" s="10">
        <v>4.21</v>
      </c>
      <c r="EX5" s="10">
        <v>74.239999999999995</v>
      </c>
      <c r="EY5" s="10">
        <v>16</v>
      </c>
      <c r="EZ5" s="10">
        <v>2</v>
      </c>
      <c r="FA5" s="10">
        <v>5</v>
      </c>
      <c r="FB5" s="10">
        <v>2</v>
      </c>
      <c r="FC5" s="10">
        <v>8</v>
      </c>
      <c r="FD5" s="10">
        <v>10.35</v>
      </c>
      <c r="FE5" s="10">
        <v>5.17</v>
      </c>
      <c r="FF5" s="10">
        <v>5636</v>
      </c>
      <c r="FG5" s="10">
        <v>1598</v>
      </c>
      <c r="FH5" s="10">
        <v>174</v>
      </c>
      <c r="FI5" s="10">
        <v>12</v>
      </c>
      <c r="FJ5" s="10">
        <v>250</v>
      </c>
      <c r="FK5" s="10">
        <v>2.2999999999999998</v>
      </c>
      <c r="FL5" s="10">
        <v>1138</v>
      </c>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10"/>
      <c r="HC5" s="10"/>
      <c r="HD5" s="10"/>
      <c r="HE5" s="10"/>
      <c r="HF5" s="10"/>
      <c r="HG5" s="10"/>
      <c r="HH5" s="10"/>
      <c r="HI5" s="10"/>
      <c r="HJ5" s="10"/>
      <c r="HK5" s="10"/>
      <c r="HL5" s="10"/>
      <c r="HM5" s="10"/>
      <c r="HN5" s="10"/>
      <c r="HO5" s="10"/>
      <c r="HP5" s="10"/>
      <c r="HQ5" s="10"/>
      <c r="HR5" s="10"/>
      <c r="HS5" s="10"/>
      <c r="HT5" s="10"/>
      <c r="HU5" s="10"/>
      <c r="HV5" s="10"/>
      <c r="HW5" s="10"/>
      <c r="HX5" s="10"/>
      <c r="HY5" s="10">
        <v>5.64</v>
      </c>
      <c r="HZ5" s="10">
        <v>5625</v>
      </c>
      <c r="IA5" s="10">
        <v>1558</v>
      </c>
      <c r="IB5" s="10">
        <v>167</v>
      </c>
      <c r="IC5" s="10">
        <v>18</v>
      </c>
      <c r="ID5" s="10">
        <v>265</v>
      </c>
      <c r="IE5" s="10">
        <v>803</v>
      </c>
      <c r="IF5" s="10">
        <v>5.44</v>
      </c>
      <c r="IG5" s="10">
        <v>1170</v>
      </c>
      <c r="IH5" s="10">
        <v>137</v>
      </c>
      <c r="II5" s="10">
        <v>2</v>
      </c>
      <c r="IJ5" s="10">
        <v>55</v>
      </c>
      <c r="IK5" s="10">
        <v>2</v>
      </c>
      <c r="IL5" s="10">
        <v>52</v>
      </c>
      <c r="IM5" s="10">
        <v>78.352000000000004</v>
      </c>
      <c r="IN5" s="10">
        <v>6.71</v>
      </c>
      <c r="IO5" s="10">
        <v>8646</v>
      </c>
      <c r="IP5" s="10">
        <v>2064</v>
      </c>
      <c r="IQ5" s="10">
        <v>448</v>
      </c>
      <c r="IR5" s="10">
        <v>30</v>
      </c>
      <c r="IS5" s="10">
        <v>425</v>
      </c>
      <c r="IT5" s="10">
        <v>833</v>
      </c>
      <c r="IU5" s="10">
        <v>7.1300000000000008</v>
      </c>
      <c r="IV5" s="10">
        <v>1376.5</v>
      </c>
      <c r="IW5" s="10">
        <v>456</v>
      </c>
      <c r="IX5" s="10">
        <v>115.5</v>
      </c>
      <c r="IY5" s="10">
        <v>27</v>
      </c>
      <c r="IZ5" s="10">
        <v>8</v>
      </c>
      <c r="JA5" s="10">
        <v>2.2450000000000001</v>
      </c>
      <c r="JB5" s="10">
        <v>90.5</v>
      </c>
      <c r="JC5" s="10">
        <v>7.48</v>
      </c>
      <c r="JD5" s="10">
        <v>79.790000000000006</v>
      </c>
      <c r="JE5" s="10">
        <v>20</v>
      </c>
      <c r="JF5" s="10">
        <v>2</v>
      </c>
      <c r="JG5" s="10">
        <v>6</v>
      </c>
      <c r="JH5" s="10">
        <v>12</v>
      </c>
      <c r="JI5" s="21"/>
      <c r="JJ5" s="21"/>
      <c r="JK5" s="21"/>
      <c r="JL5" s="21"/>
      <c r="JM5" s="21"/>
      <c r="JN5" s="21"/>
      <c r="JO5" s="21"/>
      <c r="JP5" s="21"/>
      <c r="JQ5" s="21"/>
      <c r="JR5" s="21"/>
      <c r="JS5" s="21"/>
      <c r="JT5" s="21"/>
      <c r="JU5" s="21"/>
      <c r="JV5" s="21"/>
      <c r="JW5" s="21"/>
      <c r="JX5" s="21"/>
      <c r="JY5" s="21"/>
      <c r="JZ5" s="21"/>
      <c r="KA5" s="21"/>
      <c r="KB5" s="21"/>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row>
    <row r="6" spans="1:443" s="26" customFormat="1">
      <c r="A6" s="17">
        <v>45661</v>
      </c>
      <c r="B6" s="10"/>
      <c r="C6" s="11">
        <v>5.17</v>
      </c>
      <c r="D6" s="10">
        <v>8.7333333333333343</v>
      </c>
      <c r="E6" s="10">
        <v>23.433333333333334</v>
      </c>
      <c r="F6" s="10">
        <v>720.66666666666663</v>
      </c>
      <c r="G6" s="10">
        <v>2665</v>
      </c>
      <c r="H6" s="10"/>
      <c r="I6" s="10">
        <v>38</v>
      </c>
      <c r="J6" s="10">
        <v>40.766666666666673</v>
      </c>
      <c r="K6" s="10">
        <v>98</v>
      </c>
      <c r="L6" s="21"/>
      <c r="M6" s="21"/>
      <c r="N6" s="21"/>
      <c r="O6" s="21"/>
      <c r="P6" s="21"/>
      <c r="Q6" s="21"/>
      <c r="R6" s="21"/>
      <c r="S6" s="21"/>
      <c r="T6" s="21"/>
      <c r="U6" s="21"/>
      <c r="V6" s="21"/>
      <c r="W6" s="21"/>
      <c r="X6" s="21"/>
      <c r="Y6" s="10">
        <v>18</v>
      </c>
      <c r="Z6" s="10">
        <v>4</v>
      </c>
      <c r="AA6" s="10">
        <v>2940</v>
      </c>
      <c r="AB6" s="21"/>
      <c r="AC6" s="21"/>
      <c r="AD6" s="21"/>
      <c r="AE6" s="21"/>
      <c r="AF6" s="21"/>
      <c r="AG6" s="21"/>
      <c r="AH6" s="21"/>
      <c r="AI6" s="21"/>
      <c r="AJ6" s="21"/>
      <c r="AK6" s="21"/>
      <c r="AL6" s="21"/>
      <c r="AM6" s="21"/>
      <c r="AN6" s="21"/>
      <c r="AO6" s="10">
        <v>23.3</v>
      </c>
      <c r="AP6" s="10">
        <v>7.3633333333333342</v>
      </c>
      <c r="AQ6" s="10">
        <v>1270.3333333333333</v>
      </c>
      <c r="AR6" s="10">
        <v>2604</v>
      </c>
      <c r="AS6" s="10"/>
      <c r="AT6" s="10">
        <v>28</v>
      </c>
      <c r="AU6" s="10">
        <v>43.699999999999996</v>
      </c>
      <c r="AV6" s="10">
        <v>97.333333333333329</v>
      </c>
      <c r="AW6" s="10">
        <v>110</v>
      </c>
      <c r="AX6" s="10">
        <v>7.12</v>
      </c>
      <c r="AY6" s="10">
        <v>364</v>
      </c>
      <c r="AZ6" s="10">
        <v>1802</v>
      </c>
      <c r="BA6" s="10">
        <v>445.66666666666669</v>
      </c>
      <c r="BB6" s="10"/>
      <c r="BC6" s="10">
        <v>165</v>
      </c>
      <c r="BD6" s="10">
        <v>1.9533333333333334</v>
      </c>
      <c r="BE6" s="10">
        <v>3.8</v>
      </c>
      <c r="BF6" s="10">
        <v>2498</v>
      </c>
      <c r="BG6" s="10">
        <v>1514</v>
      </c>
      <c r="BH6" s="10">
        <v>0.61</v>
      </c>
      <c r="BI6" s="10">
        <v>120</v>
      </c>
      <c r="BJ6" s="10">
        <v>23.366666666666664</v>
      </c>
      <c r="BK6" s="10">
        <v>6.583333333333333</v>
      </c>
      <c r="BL6" s="10">
        <v>333</v>
      </c>
      <c r="BM6" s="10">
        <v>1801.3333333333333</v>
      </c>
      <c r="BN6" s="10">
        <v>455</v>
      </c>
      <c r="BO6" s="10"/>
      <c r="BP6" s="10">
        <v>166.66666666666666</v>
      </c>
      <c r="BQ6" s="10">
        <v>26</v>
      </c>
      <c r="BR6" s="10">
        <v>3.1</v>
      </c>
      <c r="BS6" s="10">
        <v>5046</v>
      </c>
      <c r="BT6" s="10">
        <v>3128</v>
      </c>
      <c r="BU6" s="10">
        <v>7.59</v>
      </c>
      <c r="BV6" s="10">
        <v>1723.6666666666667</v>
      </c>
      <c r="BW6" s="10">
        <v>436</v>
      </c>
      <c r="BX6" s="10"/>
      <c r="BY6" s="10">
        <v>164.66666666666666</v>
      </c>
      <c r="BZ6" s="10">
        <v>4.2</v>
      </c>
      <c r="CA6" s="10">
        <v>2791</v>
      </c>
      <c r="CB6" s="10">
        <v>1415</v>
      </c>
      <c r="CC6" s="10">
        <v>7.44</v>
      </c>
      <c r="CD6" s="10">
        <v>1723</v>
      </c>
      <c r="CE6" s="10">
        <v>432</v>
      </c>
      <c r="CF6" s="10"/>
      <c r="CG6" s="10">
        <v>162.66666666666666</v>
      </c>
      <c r="CH6" s="10">
        <v>5.0999999999999996</v>
      </c>
      <c r="CI6" s="10">
        <v>4164</v>
      </c>
      <c r="CJ6" s="10">
        <v>2478</v>
      </c>
      <c r="CK6" s="10">
        <v>1.4233333333333331</v>
      </c>
      <c r="CL6" s="10">
        <v>7.5766666666666671</v>
      </c>
      <c r="CM6" s="10">
        <v>46</v>
      </c>
      <c r="CN6" s="10">
        <v>1717.3333333333333</v>
      </c>
      <c r="CO6" s="10">
        <v>433.33333333333331</v>
      </c>
      <c r="CP6" s="10"/>
      <c r="CQ6" s="10">
        <v>166.66666666666666</v>
      </c>
      <c r="CR6" s="10">
        <v>5.0333333333333341</v>
      </c>
      <c r="CS6" s="10">
        <v>170</v>
      </c>
      <c r="CT6" s="10">
        <v>7.5200000000000005</v>
      </c>
      <c r="CU6" s="10">
        <v>1703</v>
      </c>
      <c r="CV6" s="10">
        <v>429.33333333333331</v>
      </c>
      <c r="CW6" s="10"/>
      <c r="CX6" s="10">
        <v>40</v>
      </c>
      <c r="CY6" s="10">
        <v>166.66666666666666</v>
      </c>
      <c r="CZ6" s="10">
        <v>4.7666666666666666</v>
      </c>
      <c r="DA6" s="10">
        <v>7.8466666666666667</v>
      </c>
      <c r="DB6" s="10">
        <v>1658.3333333333333</v>
      </c>
      <c r="DC6" s="10">
        <v>439.66666666666669</v>
      </c>
      <c r="DD6" s="10">
        <v>166.33333333333334</v>
      </c>
      <c r="DE6" s="10">
        <v>52</v>
      </c>
      <c r="DF6" s="10">
        <v>141.66666666666666</v>
      </c>
      <c r="DG6" s="10"/>
      <c r="DH6" s="10">
        <v>12.833333333333334</v>
      </c>
      <c r="DI6" s="21"/>
      <c r="DJ6" s="21"/>
      <c r="DK6" s="21"/>
      <c r="DL6" s="21"/>
      <c r="DM6" s="21"/>
      <c r="DN6" s="21"/>
      <c r="DO6" s="21"/>
      <c r="DP6" s="21"/>
      <c r="DQ6" s="21"/>
      <c r="DR6" s="21"/>
      <c r="DS6" s="21"/>
      <c r="DT6" s="21"/>
      <c r="DU6" s="21"/>
      <c r="DV6" s="21"/>
      <c r="DW6" s="21"/>
      <c r="DX6" s="10">
        <v>7.7700000000000005</v>
      </c>
      <c r="DY6" s="10">
        <v>1639.6666666666667</v>
      </c>
      <c r="DZ6" s="10">
        <v>429.33333333333331</v>
      </c>
      <c r="EA6" s="10">
        <v>25</v>
      </c>
      <c r="EB6" s="10">
        <v>164</v>
      </c>
      <c r="EC6" s="10">
        <v>46</v>
      </c>
      <c r="ED6" s="10">
        <v>10.833333333333334</v>
      </c>
      <c r="EE6" s="10">
        <v>148.33333333333334</v>
      </c>
      <c r="EF6" s="10">
        <v>2854</v>
      </c>
      <c r="EG6" s="10">
        <v>7.8466666666666667</v>
      </c>
      <c r="EH6" s="10">
        <v>1609</v>
      </c>
      <c r="EI6" s="10">
        <v>386</v>
      </c>
      <c r="EJ6" s="10"/>
      <c r="EK6" s="10">
        <v>150</v>
      </c>
      <c r="EL6" s="10"/>
      <c r="EM6" s="10">
        <v>1.4333333333333333</v>
      </c>
      <c r="EN6" s="10">
        <v>125</v>
      </c>
      <c r="EO6" s="10">
        <v>540</v>
      </c>
      <c r="EP6" s="10">
        <v>7.0366666666666662</v>
      </c>
      <c r="EQ6" s="10">
        <v>1666</v>
      </c>
      <c r="ER6" s="10">
        <v>375</v>
      </c>
      <c r="ES6" s="10">
        <v>148.66666666666666</v>
      </c>
      <c r="ET6" s="10">
        <v>4</v>
      </c>
      <c r="EU6" s="10">
        <v>131.66666666666666</v>
      </c>
      <c r="EV6" s="10">
        <v>385.33333333333331</v>
      </c>
      <c r="EW6" s="10">
        <v>6.919999999999999</v>
      </c>
      <c r="EX6" s="10">
        <v>70.599999999999994</v>
      </c>
      <c r="EY6" s="10">
        <v>18.666666666666668</v>
      </c>
      <c r="EZ6" s="10">
        <v>4</v>
      </c>
      <c r="FA6" s="10">
        <v>4.666666666666667</v>
      </c>
      <c r="FB6" s="10">
        <v>2</v>
      </c>
      <c r="FC6" s="10">
        <v>7.666666666666667</v>
      </c>
      <c r="FD6" s="10">
        <v>11.49</v>
      </c>
      <c r="FE6" s="10">
        <v>6.9666666666666659</v>
      </c>
      <c r="FF6" s="10">
        <v>5746</v>
      </c>
      <c r="FG6" s="10">
        <v>1494</v>
      </c>
      <c r="FH6" s="10">
        <v>422</v>
      </c>
      <c r="FI6" s="10">
        <v>18</v>
      </c>
      <c r="FJ6" s="10">
        <v>460.33333333333331</v>
      </c>
      <c r="FK6" s="10">
        <v>2.15</v>
      </c>
      <c r="FL6" s="10">
        <v>1394.3333333333333</v>
      </c>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10"/>
      <c r="HC6" s="10"/>
      <c r="HD6" s="10"/>
      <c r="HE6" s="10"/>
      <c r="HF6" s="10"/>
      <c r="HG6" s="10"/>
      <c r="HH6" s="10"/>
      <c r="HI6" s="10"/>
      <c r="HJ6" s="10"/>
      <c r="HK6" s="10"/>
      <c r="HL6" s="10"/>
      <c r="HM6" s="10"/>
      <c r="HN6" s="10"/>
      <c r="HO6" s="10"/>
      <c r="HP6" s="10"/>
      <c r="HQ6" s="10"/>
      <c r="HR6" s="10"/>
      <c r="HS6" s="10"/>
      <c r="HT6" s="10"/>
      <c r="HU6" s="10"/>
      <c r="HV6" s="10"/>
      <c r="HW6" s="10"/>
      <c r="HX6" s="10"/>
      <c r="HY6" s="10">
        <v>6.8966666666666674</v>
      </c>
      <c r="HZ6" s="10">
        <v>5645.666666666667</v>
      </c>
      <c r="IA6" s="10">
        <v>1419.3333333333333</v>
      </c>
      <c r="IB6" s="10">
        <v>416.33333333333331</v>
      </c>
      <c r="IC6" s="10">
        <v>16</v>
      </c>
      <c r="ID6" s="10">
        <v>427</v>
      </c>
      <c r="IE6" s="10">
        <v>1328.6666666666667</v>
      </c>
      <c r="IF6" s="10">
        <v>8.6033333333333335</v>
      </c>
      <c r="IG6" s="10">
        <v>495.56666666666666</v>
      </c>
      <c r="IH6" s="10">
        <v>67.666666666666671</v>
      </c>
      <c r="II6" s="10"/>
      <c r="IJ6" s="10">
        <v>28.333333333333332</v>
      </c>
      <c r="IK6" s="10"/>
      <c r="IL6" s="10">
        <v>17.333333333333332</v>
      </c>
      <c r="IM6" s="10">
        <v>48.906666666666666</v>
      </c>
      <c r="IN6" s="10">
        <v>7.8599999999999994</v>
      </c>
      <c r="IO6" s="10">
        <v>7912</v>
      </c>
      <c r="IP6" s="10">
        <v>2240.6666666666665</v>
      </c>
      <c r="IQ6" s="10">
        <v>550</v>
      </c>
      <c r="IR6" s="10">
        <v>34</v>
      </c>
      <c r="IS6" s="10">
        <v>590.33333333333337</v>
      </c>
      <c r="IT6" s="10">
        <v>1511.3333333333333</v>
      </c>
      <c r="IU6" s="10">
        <v>7.8533333333333344</v>
      </c>
      <c r="IV6" s="10">
        <v>1609.3333333333333</v>
      </c>
      <c r="IW6" s="10">
        <v>389.66666666666669</v>
      </c>
      <c r="IX6" s="10">
        <v>147.33333333333334</v>
      </c>
      <c r="IY6" s="10"/>
      <c r="IZ6" s="10">
        <v>8</v>
      </c>
      <c r="JA6" s="10">
        <v>1.1299999999999999</v>
      </c>
      <c r="JB6" s="10">
        <v>121.66666666666667</v>
      </c>
      <c r="JC6" s="10">
        <v>6.663333333333334</v>
      </c>
      <c r="JD6" s="10">
        <v>71.216666666666654</v>
      </c>
      <c r="JE6" s="10">
        <v>20.333333333333332</v>
      </c>
      <c r="JF6" s="10"/>
      <c r="JG6" s="10">
        <v>4.333333333333333</v>
      </c>
      <c r="JH6" s="10">
        <v>8.3333333333333339</v>
      </c>
      <c r="JI6" s="21">
        <v>82.21</v>
      </c>
      <c r="JJ6" s="21">
        <v>6.67</v>
      </c>
      <c r="JK6" s="21">
        <v>1750</v>
      </c>
      <c r="JL6" s="21">
        <v>410</v>
      </c>
      <c r="JM6" s="21">
        <v>157</v>
      </c>
      <c r="JN6" s="21"/>
      <c r="JO6" s="21">
        <v>82.21</v>
      </c>
      <c r="JP6" s="21"/>
      <c r="JQ6" s="21"/>
      <c r="JR6" s="21"/>
      <c r="JS6" s="21"/>
      <c r="JT6" s="21"/>
      <c r="JU6" s="21"/>
      <c r="JV6" s="21"/>
      <c r="JW6" s="21"/>
      <c r="JX6" s="21"/>
      <c r="JY6" s="21"/>
      <c r="JZ6" s="21"/>
      <c r="KA6" s="21"/>
      <c r="KB6" s="21"/>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row>
    <row r="7" spans="1:443">
      <c r="A7" s="17">
        <v>45662</v>
      </c>
      <c r="B7" s="8"/>
      <c r="C7" s="9">
        <v>4.26</v>
      </c>
      <c r="D7" s="10">
        <v>8.5266666666666655</v>
      </c>
      <c r="E7" s="10">
        <v>23</v>
      </c>
      <c r="F7" s="10">
        <v>1082.3333333333333</v>
      </c>
      <c r="G7" s="10">
        <v>3331</v>
      </c>
      <c r="H7" s="10"/>
      <c r="I7" s="10">
        <v>70</v>
      </c>
      <c r="J7" s="10">
        <v>55.966666666666669</v>
      </c>
      <c r="K7" s="10">
        <v>112.66666666666667</v>
      </c>
      <c r="L7" s="21"/>
      <c r="M7" s="21"/>
      <c r="N7" s="21"/>
      <c r="O7" s="21"/>
      <c r="P7" s="21"/>
      <c r="Q7" s="21"/>
      <c r="R7" s="21"/>
      <c r="S7" s="21"/>
      <c r="T7" s="21"/>
      <c r="U7" s="21"/>
      <c r="V7" s="21"/>
      <c r="W7" s="21"/>
      <c r="X7" s="21"/>
      <c r="Y7" s="10">
        <v>111.33333333333333</v>
      </c>
      <c r="Z7" s="10">
        <v>36</v>
      </c>
      <c r="AA7" s="10">
        <v>2163</v>
      </c>
      <c r="AB7" s="21"/>
      <c r="AC7" s="21"/>
      <c r="AD7" s="21"/>
      <c r="AE7" s="21"/>
      <c r="AF7" s="21"/>
      <c r="AG7" s="21"/>
      <c r="AH7" s="21"/>
      <c r="AI7" s="21"/>
      <c r="AJ7" s="21"/>
      <c r="AK7" s="21"/>
      <c r="AL7" s="21"/>
      <c r="AM7" s="21"/>
      <c r="AN7" s="21"/>
      <c r="AO7" s="10">
        <v>22.900000000000002</v>
      </c>
      <c r="AP7" s="10">
        <v>7.3133333333333335</v>
      </c>
      <c r="AQ7" s="10">
        <v>1472</v>
      </c>
      <c r="AR7" s="10">
        <v>3263</v>
      </c>
      <c r="AS7" s="10"/>
      <c r="AT7" s="10">
        <v>98</v>
      </c>
      <c r="AU7" s="10">
        <v>62.300000000000004</v>
      </c>
      <c r="AV7" s="10">
        <v>111.33333333333333</v>
      </c>
      <c r="AW7" s="10">
        <v>140</v>
      </c>
      <c r="AX7" s="10">
        <v>6.9766666666666666</v>
      </c>
      <c r="AY7" s="10">
        <v>211</v>
      </c>
      <c r="AZ7" s="10">
        <v>1632.3333333333333</v>
      </c>
      <c r="BA7" s="10">
        <v>413.33333333333331</v>
      </c>
      <c r="BB7" s="10"/>
      <c r="BC7" s="10">
        <v>129.33333333333334</v>
      </c>
      <c r="BD7" s="10">
        <v>2.4633333333333334</v>
      </c>
      <c r="BE7" s="10">
        <v>2.5</v>
      </c>
      <c r="BF7" s="10">
        <v>3896</v>
      </c>
      <c r="BG7" s="10">
        <v>2355</v>
      </c>
      <c r="BH7" s="10">
        <v>0.6</v>
      </c>
      <c r="BI7" s="10">
        <v>150</v>
      </c>
      <c r="BJ7" s="10">
        <v>23.133333333333336</v>
      </c>
      <c r="BK7" s="10">
        <v>6.6633333333333331</v>
      </c>
      <c r="BL7" s="10">
        <v>189</v>
      </c>
      <c r="BM7" s="10">
        <v>1696.3333333333333</v>
      </c>
      <c r="BN7" s="10">
        <v>419</v>
      </c>
      <c r="BO7" s="10"/>
      <c r="BP7" s="10">
        <v>131</v>
      </c>
      <c r="BQ7" s="10">
        <v>14</v>
      </c>
      <c r="BR7" s="10">
        <v>3.2999999999999994</v>
      </c>
      <c r="BS7" s="10">
        <v>5862</v>
      </c>
      <c r="BT7" s="10">
        <v>3065</v>
      </c>
      <c r="BU7" s="10">
        <v>7.5233333333333334</v>
      </c>
      <c r="BV7" s="10">
        <v>1669.6666666666667</v>
      </c>
      <c r="BW7" s="10">
        <v>401.33333333333331</v>
      </c>
      <c r="BX7" s="10"/>
      <c r="BY7" s="10">
        <v>127</v>
      </c>
      <c r="BZ7" s="10">
        <v>4</v>
      </c>
      <c r="CA7" s="10">
        <v>3521</v>
      </c>
      <c r="CB7" s="10">
        <v>1865</v>
      </c>
      <c r="CC7" s="10">
        <v>7.6266666666666678</v>
      </c>
      <c r="CD7" s="10">
        <v>1901</v>
      </c>
      <c r="CE7" s="10">
        <v>395.66666666666669</v>
      </c>
      <c r="CF7" s="10"/>
      <c r="CG7" s="10">
        <v>125</v>
      </c>
      <c r="CH7" s="10">
        <v>5.3</v>
      </c>
      <c r="CI7" s="10">
        <v>3265</v>
      </c>
      <c r="CJ7" s="10">
        <v>1723</v>
      </c>
      <c r="CK7" s="10">
        <v>1.6666666666666667</v>
      </c>
      <c r="CL7" s="10">
        <v>7.8833333333333329</v>
      </c>
      <c r="CM7" s="10">
        <v>38</v>
      </c>
      <c r="CN7" s="10">
        <v>1662.3333333333333</v>
      </c>
      <c r="CO7" s="10">
        <v>412</v>
      </c>
      <c r="CP7" s="10"/>
      <c r="CQ7" s="10">
        <v>136.66666666666666</v>
      </c>
      <c r="CR7" s="10">
        <v>12.24</v>
      </c>
      <c r="CS7" s="10">
        <v>100</v>
      </c>
      <c r="CT7" s="10">
        <v>7.8966666666666656</v>
      </c>
      <c r="CU7" s="10">
        <v>1660.6666666666667</v>
      </c>
      <c r="CV7" s="10">
        <v>406.66666666666669</v>
      </c>
      <c r="CW7" s="10"/>
      <c r="CX7" s="10">
        <v>40</v>
      </c>
      <c r="CY7" s="10">
        <v>133</v>
      </c>
      <c r="CZ7" s="10">
        <v>12.133333333333333</v>
      </c>
      <c r="DA7" s="10">
        <v>7.9366666666666665</v>
      </c>
      <c r="DB7" s="10">
        <v>1636.3333333333333</v>
      </c>
      <c r="DC7" s="10">
        <v>416</v>
      </c>
      <c r="DD7" s="10">
        <v>133.66666666666666</v>
      </c>
      <c r="DE7" s="10">
        <v>24</v>
      </c>
      <c r="DF7" s="10">
        <v>126.66666666666667</v>
      </c>
      <c r="DG7" s="10"/>
      <c r="DH7" s="10">
        <v>12.766666666666666</v>
      </c>
      <c r="DI7" s="21"/>
      <c r="DJ7" s="21"/>
      <c r="DK7" s="21"/>
      <c r="DL7" s="21"/>
      <c r="DM7" s="21"/>
      <c r="DN7" s="21"/>
      <c r="DO7" s="21"/>
      <c r="DP7" s="21"/>
      <c r="DQ7" s="21"/>
      <c r="DR7" s="21"/>
      <c r="DS7" s="21"/>
      <c r="DT7" s="21"/>
      <c r="DU7" s="21"/>
      <c r="DV7" s="21"/>
      <c r="DW7" s="21"/>
      <c r="DX7" s="10">
        <v>7.95</v>
      </c>
      <c r="DY7" s="10">
        <v>1638.6666666666667</v>
      </c>
      <c r="DZ7" s="10">
        <v>412</v>
      </c>
      <c r="EA7" s="10"/>
      <c r="EB7" s="10">
        <v>130</v>
      </c>
      <c r="EC7" s="10">
        <v>39</v>
      </c>
      <c r="ED7" s="10">
        <v>11.733333333333334</v>
      </c>
      <c r="EE7" s="10">
        <v>136.66666666666666</v>
      </c>
      <c r="EF7" s="10">
        <v>917.66666666666663</v>
      </c>
      <c r="EG7" s="10">
        <v>8.1300000000000008</v>
      </c>
      <c r="EH7" s="10">
        <v>1745.6666666666667</v>
      </c>
      <c r="EI7" s="10">
        <v>379.66666666666669</v>
      </c>
      <c r="EJ7" s="10"/>
      <c r="EK7" s="10">
        <v>117.33333333333333</v>
      </c>
      <c r="EL7" s="10">
        <v>3</v>
      </c>
      <c r="EM7" s="10">
        <v>0.70333333333333348</v>
      </c>
      <c r="EN7" s="10">
        <v>110</v>
      </c>
      <c r="EO7" s="10">
        <v>464.66666666666669</v>
      </c>
      <c r="EP7" s="10">
        <v>7.7899999999999991</v>
      </c>
      <c r="EQ7" s="10">
        <v>1626.6666666666667</v>
      </c>
      <c r="ER7" s="10">
        <v>371.66666666666669</v>
      </c>
      <c r="ES7" s="10">
        <v>115.33333333333333</v>
      </c>
      <c r="ET7" s="10"/>
      <c r="EU7" s="10">
        <v>86.666666666666671</v>
      </c>
      <c r="EV7" s="10">
        <v>569.66666666666663</v>
      </c>
      <c r="EW7" s="10">
        <v>6.6766666666666667</v>
      </c>
      <c r="EX7" s="10">
        <v>62.986666666666657</v>
      </c>
      <c r="EY7" s="10">
        <v>20</v>
      </c>
      <c r="EZ7" s="10">
        <v>3</v>
      </c>
      <c r="FA7" s="10">
        <v>4.333333333333333</v>
      </c>
      <c r="FB7" s="10">
        <v>2</v>
      </c>
      <c r="FC7" s="10">
        <v>4.666666666666667</v>
      </c>
      <c r="FD7" s="10">
        <v>11.478999999999999</v>
      </c>
      <c r="FE7" s="10">
        <v>7.0766666666666671</v>
      </c>
      <c r="FF7" s="10">
        <v>6268.333333333333</v>
      </c>
      <c r="FG7" s="10">
        <v>1341.6666666666667</v>
      </c>
      <c r="FH7" s="10">
        <v>370</v>
      </c>
      <c r="FI7" s="10">
        <v>13</v>
      </c>
      <c r="FJ7" s="10">
        <v>320.33333333333331</v>
      </c>
      <c r="FK7" s="10">
        <v>9.3533333333333335</v>
      </c>
      <c r="FL7" s="10">
        <v>1660.3333333333333</v>
      </c>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10">
        <v>7.5749999999999993</v>
      </c>
      <c r="HC7" s="10">
        <v>5709.5</v>
      </c>
      <c r="HD7" s="10">
        <v>1503</v>
      </c>
      <c r="HE7" s="10">
        <v>556.5</v>
      </c>
      <c r="HF7" s="10">
        <v>22</v>
      </c>
      <c r="HG7" s="10">
        <v>375.5</v>
      </c>
      <c r="HH7" s="10">
        <v>2033</v>
      </c>
      <c r="HI7" s="10">
        <v>7.0350000000000001</v>
      </c>
      <c r="HJ7" s="10">
        <v>1845.5</v>
      </c>
      <c r="HK7" s="10">
        <v>289</v>
      </c>
      <c r="HL7" s="10">
        <v>2</v>
      </c>
      <c r="HM7" s="10">
        <v>139</v>
      </c>
      <c r="HN7" s="10">
        <v>2</v>
      </c>
      <c r="HO7" s="10">
        <v>69</v>
      </c>
      <c r="HP7" s="10">
        <v>455</v>
      </c>
      <c r="HQ7" s="10">
        <v>6.9450000000000003</v>
      </c>
      <c r="HR7" s="10">
        <v>9449.5</v>
      </c>
      <c r="HS7" s="10">
        <v>2436.5</v>
      </c>
      <c r="HT7" s="10">
        <v>864</v>
      </c>
      <c r="HU7" s="10">
        <v>36</v>
      </c>
      <c r="HV7" s="10">
        <v>570.5</v>
      </c>
      <c r="HW7" s="10"/>
      <c r="HX7" s="10">
        <v>1574</v>
      </c>
      <c r="HY7" s="10">
        <v>7.04</v>
      </c>
      <c r="HZ7" s="10">
        <v>4623</v>
      </c>
      <c r="IA7" s="10">
        <v>1672</v>
      </c>
      <c r="IB7" s="10">
        <v>295</v>
      </c>
      <c r="IC7" s="10">
        <v>14</v>
      </c>
      <c r="ID7" s="10">
        <v>320</v>
      </c>
      <c r="IE7" s="10">
        <v>562</v>
      </c>
      <c r="IF7" s="10">
        <v>7.17</v>
      </c>
      <c r="IG7" s="10">
        <v>877.6</v>
      </c>
      <c r="IH7" s="10">
        <v>102</v>
      </c>
      <c r="II7" s="10"/>
      <c r="IJ7" s="10">
        <v>34</v>
      </c>
      <c r="IK7" s="10"/>
      <c r="IL7" s="10">
        <v>320</v>
      </c>
      <c r="IM7" s="10">
        <v>562</v>
      </c>
      <c r="IN7" s="10">
        <v>7.45</v>
      </c>
      <c r="IO7" s="10">
        <v>11600</v>
      </c>
      <c r="IP7" s="10">
        <v>2244</v>
      </c>
      <c r="IQ7" s="10">
        <v>708</v>
      </c>
      <c r="IR7" s="10">
        <v>15</v>
      </c>
      <c r="IS7" s="10">
        <v>708</v>
      </c>
      <c r="IT7" s="10">
        <v>1283</v>
      </c>
      <c r="IU7" s="10">
        <v>8.0966666666666658</v>
      </c>
      <c r="IV7" s="10">
        <v>1613.3333333333333</v>
      </c>
      <c r="IW7" s="10">
        <v>375.66666666666669</v>
      </c>
      <c r="IX7" s="10">
        <v>115.66666666666667</v>
      </c>
      <c r="IY7" s="10"/>
      <c r="IZ7" s="10">
        <v>10</v>
      </c>
      <c r="JA7" s="10">
        <v>0.88</v>
      </c>
      <c r="JB7" s="10">
        <v>100</v>
      </c>
      <c r="JC7" s="10">
        <v>7.21</v>
      </c>
      <c r="JD7" s="10">
        <v>93.05</v>
      </c>
      <c r="JE7" s="10">
        <v>29.666666666666668</v>
      </c>
      <c r="JF7" s="10"/>
      <c r="JG7" s="10">
        <v>4.666666666666667</v>
      </c>
      <c r="JH7" s="10">
        <v>6.333333333333333</v>
      </c>
      <c r="JI7" s="21">
        <v>86.35</v>
      </c>
      <c r="JJ7" s="21">
        <v>8.08</v>
      </c>
      <c r="JK7" s="21">
        <v>2418</v>
      </c>
      <c r="JL7" s="21">
        <v>775</v>
      </c>
      <c r="JM7" s="21">
        <v>125</v>
      </c>
      <c r="JN7" s="21">
        <v>34</v>
      </c>
      <c r="JO7" s="21">
        <v>3.7</v>
      </c>
      <c r="JP7" s="21"/>
      <c r="JQ7" s="21"/>
      <c r="JR7" s="21"/>
      <c r="JS7" s="21"/>
      <c r="JT7" s="21"/>
      <c r="JU7" s="21"/>
      <c r="JV7" s="21"/>
      <c r="JW7" s="21"/>
      <c r="JX7" s="21"/>
      <c r="JY7" s="21"/>
      <c r="JZ7" s="21"/>
      <c r="KA7" s="21"/>
      <c r="KB7" s="21"/>
    </row>
    <row r="8" spans="1:443">
      <c r="A8" s="17">
        <v>45663</v>
      </c>
      <c r="B8" s="13"/>
      <c r="C8" s="9">
        <v>5.75</v>
      </c>
      <c r="D8" s="10">
        <v>9.0533333333333328</v>
      </c>
      <c r="E8" s="10">
        <v>23.266666666666669</v>
      </c>
      <c r="F8" s="10">
        <v>786</v>
      </c>
      <c r="G8" s="10">
        <v>3562</v>
      </c>
      <c r="H8" s="10"/>
      <c r="I8" s="10">
        <v>154</v>
      </c>
      <c r="J8" s="10">
        <v>21.900000000000002</v>
      </c>
      <c r="K8" s="10">
        <v>136.66666666666666</v>
      </c>
      <c r="L8" s="10"/>
      <c r="M8" s="10"/>
      <c r="N8" s="10"/>
      <c r="O8" s="10"/>
      <c r="P8" s="10"/>
      <c r="Q8" s="10"/>
      <c r="R8" s="10"/>
      <c r="S8" s="10"/>
      <c r="T8" s="10"/>
      <c r="U8" s="10"/>
      <c r="V8" s="10"/>
      <c r="W8" s="10"/>
      <c r="X8" s="10"/>
      <c r="Y8" s="10">
        <v>66.666666666666671</v>
      </c>
      <c r="Z8" s="10">
        <v>32</v>
      </c>
      <c r="AA8" s="10">
        <v>1745</v>
      </c>
      <c r="AB8" s="10"/>
      <c r="AC8" s="10"/>
      <c r="AD8" s="10"/>
      <c r="AE8" s="10"/>
      <c r="AF8" s="10"/>
      <c r="AG8" s="10"/>
      <c r="AH8" s="10"/>
      <c r="AI8" s="10"/>
      <c r="AJ8" s="10"/>
      <c r="AK8" s="10"/>
      <c r="AL8" s="10"/>
      <c r="AM8" s="10"/>
      <c r="AN8" s="10"/>
      <c r="AO8" s="10">
        <v>23.266666666666666</v>
      </c>
      <c r="AP8" s="10">
        <v>7.77</v>
      </c>
      <c r="AQ8" s="10">
        <v>1590.3333333333333</v>
      </c>
      <c r="AR8" s="10">
        <v>3483.6666666666665</v>
      </c>
      <c r="AS8" s="10"/>
      <c r="AT8" s="10">
        <v>26</v>
      </c>
      <c r="AU8" s="10">
        <v>30.2</v>
      </c>
      <c r="AV8" s="10">
        <v>134.33333333333334</v>
      </c>
      <c r="AW8" s="10">
        <v>115</v>
      </c>
      <c r="AX8" s="10">
        <v>6.456666666666667</v>
      </c>
      <c r="AY8" s="10">
        <v>208</v>
      </c>
      <c r="AZ8" s="10">
        <v>1554.3333333333333</v>
      </c>
      <c r="BA8" s="10">
        <v>399.33333333333331</v>
      </c>
      <c r="BB8" s="10"/>
      <c r="BC8" s="10">
        <v>148.33333333333334</v>
      </c>
      <c r="BD8" s="10">
        <v>2.4463333333333335</v>
      </c>
      <c r="BE8" s="10">
        <v>2.4</v>
      </c>
      <c r="BF8" s="10">
        <v>8965</v>
      </c>
      <c r="BG8" s="10">
        <v>5326</v>
      </c>
      <c r="BH8" s="10">
        <v>0.59</v>
      </c>
      <c r="BI8" s="10">
        <v>150</v>
      </c>
      <c r="BJ8" s="10">
        <v>23.366666666666664</v>
      </c>
      <c r="BK8" s="10">
        <v>6.166666666666667</v>
      </c>
      <c r="BL8" s="10">
        <v>187</v>
      </c>
      <c r="BM8" s="10">
        <v>1619</v>
      </c>
      <c r="BN8" s="10">
        <v>400.66666666666669</v>
      </c>
      <c r="BO8" s="10"/>
      <c r="BP8" s="10">
        <v>118.66666666666667</v>
      </c>
      <c r="BQ8" s="10">
        <v>26</v>
      </c>
      <c r="BR8" s="10">
        <v>3.3666666666666667</v>
      </c>
      <c r="BS8" s="10">
        <v>9653</v>
      </c>
      <c r="BT8" s="10">
        <v>5862</v>
      </c>
      <c r="BU8" s="10">
        <v>6.753333333333333</v>
      </c>
      <c r="BV8" s="10">
        <v>1593.3333333333333</v>
      </c>
      <c r="BW8" s="10">
        <v>394</v>
      </c>
      <c r="BX8" s="10"/>
      <c r="BY8" s="10">
        <v>115.33333333333333</v>
      </c>
      <c r="BZ8" s="10">
        <v>5</v>
      </c>
      <c r="CA8" s="10">
        <v>3895</v>
      </c>
      <c r="CB8" s="10">
        <v>2356</v>
      </c>
      <c r="CC8" s="10">
        <v>7.1266666666666678</v>
      </c>
      <c r="CD8" s="10">
        <v>1578.3333333333333</v>
      </c>
      <c r="CE8" s="10">
        <v>387.33333333333331</v>
      </c>
      <c r="CF8" s="10"/>
      <c r="CG8" s="10">
        <v>113.66666666666667</v>
      </c>
      <c r="CH8" s="10">
        <v>5.5</v>
      </c>
      <c r="CI8" s="10">
        <v>3585</v>
      </c>
      <c r="CJ8" s="10">
        <v>2156</v>
      </c>
      <c r="CK8" s="10">
        <v>1.9703333333333333</v>
      </c>
      <c r="CL8" s="10">
        <v>7.4633333333333338</v>
      </c>
      <c r="CM8" s="10">
        <v>112</v>
      </c>
      <c r="CN8" s="10">
        <v>1609.6666666666667</v>
      </c>
      <c r="CO8" s="10">
        <v>396.66666666666669</v>
      </c>
      <c r="CP8" s="10"/>
      <c r="CQ8" s="10">
        <v>117.33333333333333</v>
      </c>
      <c r="CR8" s="10">
        <v>9.3333333333333339</v>
      </c>
      <c r="CS8" s="10">
        <v>140</v>
      </c>
      <c r="CT8" s="10">
        <v>7.5233333333333334</v>
      </c>
      <c r="CU8" s="10">
        <v>1779.3333333333333</v>
      </c>
      <c r="CV8" s="10">
        <v>392.66666666666669</v>
      </c>
      <c r="CW8" s="10"/>
      <c r="CX8" s="10">
        <v>72</v>
      </c>
      <c r="CY8" s="10">
        <v>115.33333333333333</v>
      </c>
      <c r="CZ8" s="10">
        <v>8.0666666666666664</v>
      </c>
      <c r="DA8" s="10">
        <v>261.64</v>
      </c>
      <c r="DB8" s="10">
        <v>1538</v>
      </c>
      <c r="DC8" s="10">
        <v>392.66666666666669</v>
      </c>
      <c r="DD8" s="10">
        <v>117</v>
      </c>
      <c r="DE8" s="10">
        <v>68</v>
      </c>
      <c r="DF8" s="10">
        <v>160</v>
      </c>
      <c r="DG8" s="10"/>
      <c r="DH8" s="10">
        <v>7.5333333333333341</v>
      </c>
      <c r="DI8" s="10"/>
      <c r="DJ8" s="10"/>
      <c r="DK8" s="10"/>
      <c r="DL8" s="10"/>
      <c r="DM8" s="10"/>
      <c r="DN8" s="10"/>
      <c r="DO8" s="10"/>
      <c r="DP8" s="10"/>
      <c r="DQ8" s="10"/>
      <c r="DR8" s="10"/>
      <c r="DS8" s="10"/>
      <c r="DT8" s="10"/>
      <c r="DU8" s="10"/>
      <c r="DV8" s="10"/>
      <c r="DW8" s="10"/>
      <c r="DX8" s="10">
        <v>7.72</v>
      </c>
      <c r="DY8" s="10">
        <v>1535.3333333333333</v>
      </c>
      <c r="DZ8" s="10">
        <v>392.66666666666669</v>
      </c>
      <c r="EA8" s="10"/>
      <c r="EB8" s="10">
        <v>118</v>
      </c>
      <c r="EC8" s="10">
        <v>49</v>
      </c>
      <c r="ED8" s="10">
        <v>8.2000000000000011</v>
      </c>
      <c r="EE8" s="10">
        <v>165</v>
      </c>
      <c r="EF8" s="10">
        <v>1111.3333333333333</v>
      </c>
      <c r="EG8" s="10">
        <v>7.6933333333333325</v>
      </c>
      <c r="EH8" s="10">
        <v>1569.3333333333333</v>
      </c>
      <c r="EI8" s="10">
        <v>372.66666666666669</v>
      </c>
      <c r="EJ8" s="10"/>
      <c r="EK8" s="10">
        <v>111.33333333333333</v>
      </c>
      <c r="EL8" s="10">
        <v>4</v>
      </c>
      <c r="EM8" s="10">
        <v>0.65</v>
      </c>
      <c r="EN8" s="10">
        <v>153.33333333333334</v>
      </c>
      <c r="EO8" s="10">
        <v>390.16666666666669</v>
      </c>
      <c r="EP8" s="10">
        <v>7.043333333333333</v>
      </c>
      <c r="EQ8" s="10">
        <v>1599.3333333333333</v>
      </c>
      <c r="ER8" s="10">
        <v>366.66666666666669</v>
      </c>
      <c r="ES8" s="10">
        <v>109</v>
      </c>
      <c r="ET8" s="10">
        <v>6</v>
      </c>
      <c r="EU8" s="10">
        <v>151.66666666666666</v>
      </c>
      <c r="EV8" s="10">
        <v>382.33333333333331</v>
      </c>
      <c r="EW8" s="10">
        <v>6.8033333333333337</v>
      </c>
      <c r="EX8" s="10">
        <v>70.043333333333337</v>
      </c>
      <c r="EY8" s="10">
        <v>18.666666666666668</v>
      </c>
      <c r="EZ8" s="10"/>
      <c r="FA8" s="10">
        <v>6.666666666666667</v>
      </c>
      <c r="FB8" s="10">
        <v>2</v>
      </c>
      <c r="FC8" s="10">
        <v>4</v>
      </c>
      <c r="FD8" s="10">
        <v>6.3846666666666669</v>
      </c>
      <c r="FE8" s="10">
        <v>6.95</v>
      </c>
      <c r="FF8" s="10">
        <v>5770</v>
      </c>
      <c r="FG8" s="10">
        <v>1280.6666666666667</v>
      </c>
      <c r="FH8" s="10">
        <v>419.66666666666669</v>
      </c>
      <c r="FI8" s="10">
        <v>8</v>
      </c>
      <c r="FJ8" s="10">
        <v>450</v>
      </c>
      <c r="FK8" s="10">
        <v>0.85666666666666658</v>
      </c>
      <c r="FL8" s="10">
        <v>562.66666666666663</v>
      </c>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10">
        <v>7.4649999999999999</v>
      </c>
      <c r="HC8" s="10">
        <v>5021.5</v>
      </c>
      <c r="HD8" s="10">
        <v>1186.5</v>
      </c>
      <c r="HE8" s="10">
        <v>396</v>
      </c>
      <c r="HF8" s="10">
        <v>22</v>
      </c>
      <c r="HG8" s="10">
        <v>480</v>
      </c>
      <c r="HH8" s="10">
        <v>527</v>
      </c>
      <c r="HI8" s="10">
        <v>7.6550000000000002</v>
      </c>
      <c r="HJ8" s="10">
        <v>1464</v>
      </c>
      <c r="HK8" s="10">
        <v>124</v>
      </c>
      <c r="HL8" s="10">
        <v>2</v>
      </c>
      <c r="HM8" s="10">
        <v>44.5</v>
      </c>
      <c r="HN8" s="10">
        <v>2</v>
      </c>
      <c r="HO8" s="10">
        <v>42</v>
      </c>
      <c r="HP8" s="10">
        <v>142</v>
      </c>
      <c r="HQ8" s="10">
        <v>7.41</v>
      </c>
      <c r="HR8" s="10">
        <v>9701</v>
      </c>
      <c r="HS8" s="10">
        <v>1591.5</v>
      </c>
      <c r="HT8" s="10">
        <v>602</v>
      </c>
      <c r="HU8" s="10">
        <v>24</v>
      </c>
      <c r="HV8" s="10">
        <v>1295</v>
      </c>
      <c r="HW8" s="10"/>
      <c r="HX8" s="10">
        <v>885</v>
      </c>
      <c r="HY8" s="10">
        <v>7.1</v>
      </c>
      <c r="HZ8" s="10">
        <v>5575</v>
      </c>
      <c r="IA8" s="10">
        <v>1128</v>
      </c>
      <c r="IB8" s="10">
        <v>277</v>
      </c>
      <c r="IC8" s="10"/>
      <c r="ID8" s="10">
        <v>410</v>
      </c>
      <c r="IE8" s="10">
        <v>526</v>
      </c>
      <c r="IF8" s="10">
        <v>7.32</v>
      </c>
      <c r="IG8" s="10">
        <v>1012</v>
      </c>
      <c r="IH8" s="10">
        <v>88</v>
      </c>
      <c r="II8" s="10"/>
      <c r="IJ8" s="10">
        <v>25</v>
      </c>
      <c r="IK8" s="10"/>
      <c r="IL8" s="10">
        <v>38</v>
      </c>
      <c r="IM8" s="10">
        <v>126</v>
      </c>
      <c r="IN8" s="10">
        <v>7.17</v>
      </c>
      <c r="IO8" s="10">
        <v>7890</v>
      </c>
      <c r="IP8" s="10">
        <v>1673</v>
      </c>
      <c r="IQ8" s="10">
        <v>414</v>
      </c>
      <c r="IR8" s="10">
        <v>20</v>
      </c>
      <c r="IS8" s="10">
        <v>810</v>
      </c>
      <c r="IT8" s="10">
        <v>782</v>
      </c>
      <c r="IU8" s="10">
        <v>7.8133333333333335</v>
      </c>
      <c r="IV8" s="10">
        <v>1602.3333333333333</v>
      </c>
      <c r="IW8" s="10">
        <v>368</v>
      </c>
      <c r="IX8" s="10">
        <v>109.33333333333333</v>
      </c>
      <c r="IY8" s="10"/>
      <c r="IZ8" s="10">
        <v>12</v>
      </c>
      <c r="JA8" s="10">
        <v>0.82333333333333325</v>
      </c>
      <c r="JB8" s="10">
        <v>156.66666666666666</v>
      </c>
      <c r="JC8" s="10">
        <v>6.8566666666666665</v>
      </c>
      <c r="JD8" s="10">
        <v>62.24</v>
      </c>
      <c r="JE8" s="10">
        <v>20</v>
      </c>
      <c r="JF8" s="10"/>
      <c r="JG8" s="10">
        <v>7.666666666666667</v>
      </c>
      <c r="JH8" s="10">
        <v>5</v>
      </c>
      <c r="JI8" s="21">
        <v>88.77</v>
      </c>
      <c r="JJ8" s="21">
        <v>5.75</v>
      </c>
      <c r="JK8" s="21">
        <v>2288</v>
      </c>
      <c r="JL8" s="21">
        <v>416</v>
      </c>
      <c r="JM8" s="21">
        <v>115</v>
      </c>
      <c r="JN8" s="21">
        <v>8</v>
      </c>
      <c r="JO8" s="21">
        <v>6.7</v>
      </c>
      <c r="JP8" s="21"/>
      <c r="JQ8" s="21"/>
      <c r="JR8" s="21"/>
      <c r="JS8" s="21"/>
      <c r="JT8" s="21"/>
      <c r="JU8" s="21"/>
      <c r="JV8" s="21"/>
      <c r="JW8" s="21"/>
      <c r="JX8" s="21"/>
      <c r="JY8" s="21"/>
      <c r="JZ8" s="21"/>
      <c r="KA8" s="21"/>
      <c r="KB8" s="21"/>
    </row>
    <row r="9" spans="1:443">
      <c r="A9" s="17">
        <v>45664</v>
      </c>
      <c r="L9" s="22"/>
      <c r="M9" s="22"/>
      <c r="N9" s="22"/>
      <c r="O9" s="22"/>
      <c r="P9" s="22"/>
      <c r="Q9" s="22"/>
      <c r="R9" s="22"/>
      <c r="S9" s="22"/>
      <c r="T9" s="22"/>
      <c r="U9" s="22"/>
      <c r="V9" s="22"/>
      <c r="W9" s="22"/>
      <c r="X9" s="22"/>
      <c r="AB9" s="22"/>
      <c r="AC9" s="22"/>
      <c r="AD9" s="22"/>
      <c r="AE9" s="22"/>
      <c r="AF9" s="22"/>
      <c r="AG9" s="22"/>
      <c r="AH9" s="22"/>
      <c r="AI9" s="22"/>
      <c r="AJ9" s="22"/>
      <c r="AK9" s="22"/>
      <c r="AL9" s="22"/>
      <c r="AM9" s="22"/>
      <c r="AN9" s="22"/>
      <c r="DI9" s="22"/>
      <c r="DJ9" s="22"/>
      <c r="DK9" s="22"/>
      <c r="DL9" s="22"/>
      <c r="DM9" s="22"/>
      <c r="DN9" s="22"/>
      <c r="DO9" s="22"/>
      <c r="DP9" s="22"/>
      <c r="DQ9" s="22"/>
      <c r="DR9" s="22"/>
      <c r="DS9" s="22"/>
      <c r="DT9" s="22"/>
      <c r="DU9" s="22"/>
      <c r="DV9" s="22"/>
      <c r="DW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JI9" s="22"/>
      <c r="JJ9" s="22"/>
      <c r="JK9" s="22"/>
      <c r="JL9" s="22"/>
      <c r="JM9" s="22"/>
      <c r="JN9" s="22"/>
      <c r="JO9" s="22"/>
      <c r="JP9" s="22"/>
      <c r="JQ9" s="22"/>
      <c r="JR9" s="22"/>
      <c r="JS9" s="22"/>
      <c r="JT9" s="22"/>
      <c r="JU9" s="22"/>
      <c r="JV9" s="22"/>
      <c r="JW9" s="22"/>
      <c r="JX9" s="22"/>
      <c r="JY9" s="22"/>
      <c r="JZ9" s="22"/>
      <c r="KA9" s="22"/>
      <c r="KB9" s="22"/>
    </row>
    <row r="10" spans="1:443">
      <c r="A10" s="17">
        <v>45665</v>
      </c>
      <c r="L10" s="22"/>
      <c r="M10" s="22"/>
      <c r="N10" s="22"/>
      <c r="O10" s="22"/>
      <c r="P10" s="22"/>
      <c r="Q10" s="22"/>
      <c r="R10" s="22"/>
      <c r="S10" s="22"/>
      <c r="T10" s="22"/>
      <c r="U10" s="22"/>
      <c r="V10" s="22"/>
      <c r="W10" s="22"/>
      <c r="X10" s="22"/>
      <c r="AB10" s="22"/>
      <c r="AC10" s="22"/>
      <c r="AD10" s="22"/>
      <c r="AE10" s="22"/>
      <c r="AF10" s="22"/>
      <c r="AG10" s="22"/>
      <c r="AH10" s="22"/>
      <c r="AI10" s="22"/>
      <c r="AJ10" s="22"/>
      <c r="AK10" s="22"/>
      <c r="AL10" s="22"/>
      <c r="AM10" s="22"/>
      <c r="AN10" s="22"/>
      <c r="DI10" s="22"/>
      <c r="DJ10" s="22"/>
      <c r="DK10" s="22"/>
      <c r="DL10" s="22"/>
      <c r="DM10" s="22"/>
      <c r="DN10" s="22"/>
      <c r="DO10" s="22"/>
      <c r="DP10" s="22"/>
      <c r="DQ10" s="22"/>
      <c r="DR10" s="22"/>
      <c r="DS10" s="22"/>
      <c r="DT10" s="22"/>
      <c r="DU10" s="22"/>
      <c r="DV10" s="22"/>
      <c r="DW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JI10" s="22"/>
      <c r="JJ10" s="22"/>
      <c r="JK10" s="22"/>
      <c r="JL10" s="22"/>
      <c r="JM10" s="22"/>
      <c r="JN10" s="22"/>
      <c r="JO10" s="22"/>
      <c r="JP10" s="22"/>
      <c r="JQ10" s="22"/>
      <c r="JR10" s="22"/>
      <c r="JS10" s="22"/>
      <c r="JT10" s="22"/>
      <c r="JU10" s="22"/>
      <c r="JV10" s="22"/>
      <c r="JW10" s="22"/>
      <c r="JX10" s="22"/>
      <c r="JY10" s="22"/>
      <c r="JZ10" s="22"/>
      <c r="KA10" s="22"/>
      <c r="KB10" s="22"/>
    </row>
    <row r="11" spans="1:443">
      <c r="A11" s="17">
        <v>45666</v>
      </c>
      <c r="L11" s="22"/>
      <c r="M11" s="22"/>
      <c r="N11" s="22"/>
      <c r="O11" s="22"/>
      <c r="P11" s="22"/>
      <c r="Q11" s="22"/>
      <c r="R11" s="22"/>
      <c r="S11" s="22"/>
      <c r="T11" s="22"/>
      <c r="U11" s="22"/>
      <c r="V11" s="22"/>
      <c r="W11" s="22"/>
      <c r="X11" s="22"/>
      <c r="AB11" s="22"/>
      <c r="AC11" s="22"/>
      <c r="AD11" s="22"/>
      <c r="AE11" s="22"/>
      <c r="AF11" s="22"/>
      <c r="AG11" s="22"/>
      <c r="AH11" s="22"/>
      <c r="AI11" s="22"/>
      <c r="AJ11" s="22"/>
      <c r="AK11" s="22"/>
      <c r="AL11" s="22"/>
      <c r="AM11" s="22"/>
      <c r="AN11" s="22"/>
      <c r="DI11" s="22"/>
      <c r="DJ11" s="22"/>
      <c r="DK11" s="22"/>
      <c r="DL11" s="22"/>
      <c r="DM11" s="22"/>
      <c r="DN11" s="22"/>
      <c r="DO11" s="22"/>
      <c r="DP11" s="22"/>
      <c r="DQ11" s="22"/>
      <c r="DR11" s="22"/>
      <c r="DS11" s="22"/>
      <c r="DT11" s="22"/>
      <c r="DU11" s="22"/>
      <c r="DV11" s="22"/>
      <c r="DW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JI11" s="22"/>
      <c r="JJ11" s="22"/>
      <c r="JK11" s="22"/>
      <c r="JL11" s="22"/>
      <c r="JM11" s="22"/>
      <c r="JN11" s="22"/>
      <c r="JO11" s="22"/>
      <c r="JP11" s="22"/>
      <c r="JQ11" s="22"/>
      <c r="JR11" s="22"/>
      <c r="JS11" s="22"/>
      <c r="JT11" s="22"/>
      <c r="JU11" s="22"/>
      <c r="JV11" s="22"/>
      <c r="JW11" s="22"/>
      <c r="JX11" s="22"/>
      <c r="JY11" s="22"/>
      <c r="JZ11" s="22"/>
      <c r="KA11" s="22"/>
      <c r="KB11" s="22"/>
    </row>
    <row r="12" spans="1:443">
      <c r="A12" s="17">
        <v>45667</v>
      </c>
      <c r="L12" s="22"/>
      <c r="M12" s="22"/>
      <c r="N12" s="22"/>
      <c r="O12" s="22"/>
      <c r="P12" s="22"/>
      <c r="Q12" s="22"/>
      <c r="R12" s="22"/>
      <c r="S12" s="22"/>
      <c r="T12" s="22"/>
      <c r="U12" s="22"/>
      <c r="V12" s="22"/>
      <c r="W12" s="22"/>
      <c r="X12" s="22"/>
      <c r="AB12" s="22"/>
      <c r="AC12" s="22"/>
      <c r="AD12" s="22"/>
      <c r="AE12" s="22"/>
      <c r="AF12" s="22"/>
      <c r="AG12" s="22"/>
      <c r="AH12" s="22"/>
      <c r="AI12" s="22"/>
      <c r="AJ12" s="22"/>
      <c r="AK12" s="22"/>
      <c r="AL12" s="22"/>
      <c r="AM12" s="22"/>
      <c r="AN12" s="22"/>
      <c r="DI12" s="22"/>
      <c r="DJ12" s="22"/>
      <c r="DK12" s="22"/>
      <c r="DL12" s="22"/>
      <c r="DM12" s="22"/>
      <c r="DN12" s="22"/>
      <c r="DO12" s="22"/>
      <c r="DP12" s="22"/>
      <c r="DQ12" s="22"/>
      <c r="DR12" s="22"/>
      <c r="DS12" s="22"/>
      <c r="DT12" s="22"/>
      <c r="DU12" s="22"/>
      <c r="DV12" s="22"/>
      <c r="DW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JI12" s="22"/>
      <c r="JJ12" s="22"/>
      <c r="JK12" s="22"/>
      <c r="JL12" s="22"/>
      <c r="JM12" s="22"/>
      <c r="JN12" s="22"/>
      <c r="JO12" s="22"/>
      <c r="JP12" s="22"/>
      <c r="JQ12" s="22"/>
      <c r="JR12" s="22"/>
      <c r="JS12" s="22"/>
      <c r="JT12" s="22"/>
      <c r="JU12" s="22"/>
      <c r="JV12" s="22"/>
      <c r="JW12" s="22"/>
      <c r="JX12" s="22"/>
      <c r="JY12" s="22"/>
      <c r="JZ12" s="22"/>
      <c r="KA12" s="22"/>
      <c r="KB12" s="22"/>
    </row>
    <row r="13" spans="1:443">
      <c r="A13" s="17">
        <v>45668</v>
      </c>
      <c r="L13" s="22"/>
      <c r="M13" s="22"/>
      <c r="N13" s="22"/>
      <c r="O13" s="22"/>
      <c r="P13" s="22"/>
      <c r="Q13" s="22"/>
      <c r="R13" s="22"/>
      <c r="S13" s="22"/>
      <c r="T13" s="22"/>
      <c r="U13" s="22"/>
      <c r="V13" s="22"/>
      <c r="W13" s="22"/>
      <c r="X13" s="22"/>
      <c r="AB13" s="22"/>
      <c r="AC13" s="22"/>
      <c r="AD13" s="22"/>
      <c r="AE13" s="22"/>
      <c r="AF13" s="22"/>
      <c r="AG13" s="22"/>
      <c r="AH13" s="22"/>
      <c r="AI13" s="22"/>
      <c r="AJ13" s="22"/>
      <c r="AK13" s="22"/>
      <c r="AL13" s="22"/>
      <c r="AM13" s="22"/>
      <c r="AN13" s="22"/>
      <c r="DI13" s="22"/>
      <c r="DJ13" s="22"/>
      <c r="DK13" s="22"/>
      <c r="DL13" s="22"/>
      <c r="DM13" s="22"/>
      <c r="DN13" s="22"/>
      <c r="DO13" s="22"/>
      <c r="DP13" s="22"/>
      <c r="DQ13" s="22"/>
      <c r="DR13" s="22"/>
      <c r="DS13" s="22"/>
      <c r="DT13" s="22"/>
      <c r="DU13" s="22"/>
      <c r="DV13" s="22"/>
      <c r="DW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JI13" s="22"/>
      <c r="JJ13" s="22"/>
      <c r="JK13" s="22"/>
      <c r="JL13" s="22"/>
      <c r="JM13" s="22"/>
      <c r="JN13" s="22"/>
      <c r="JO13" s="22"/>
      <c r="JP13" s="22"/>
      <c r="JQ13" s="22"/>
      <c r="JR13" s="22"/>
      <c r="JS13" s="22"/>
      <c r="JT13" s="22"/>
      <c r="JU13" s="22"/>
      <c r="JV13" s="22"/>
      <c r="JW13" s="22"/>
      <c r="JX13" s="22"/>
      <c r="JY13" s="22"/>
      <c r="JZ13" s="22"/>
      <c r="KA13" s="22"/>
      <c r="KB13" s="22"/>
    </row>
    <row r="14" spans="1:443">
      <c r="A14" s="17">
        <v>45669</v>
      </c>
      <c r="L14" s="22"/>
      <c r="M14" s="22"/>
      <c r="N14" s="22"/>
      <c r="O14" s="22"/>
      <c r="P14" s="22"/>
      <c r="Q14" s="22"/>
      <c r="R14" s="22"/>
      <c r="S14" s="22"/>
      <c r="T14" s="22"/>
      <c r="U14" s="22"/>
      <c r="V14" s="22"/>
      <c r="W14" s="22"/>
      <c r="X14" s="22"/>
      <c r="AB14" s="22"/>
      <c r="AC14" s="22"/>
      <c r="AD14" s="22"/>
      <c r="AE14" s="22"/>
      <c r="AF14" s="22"/>
      <c r="AG14" s="22"/>
      <c r="AH14" s="22"/>
      <c r="AI14" s="22"/>
      <c r="AJ14" s="22"/>
      <c r="AK14" s="22"/>
      <c r="AL14" s="22"/>
      <c r="AM14" s="22"/>
      <c r="AN14" s="22"/>
      <c r="DI14" s="22"/>
      <c r="DJ14" s="22"/>
      <c r="DK14" s="22"/>
      <c r="DL14" s="22"/>
      <c r="DM14" s="22"/>
      <c r="DN14" s="22"/>
      <c r="DO14" s="22"/>
      <c r="DP14" s="22"/>
      <c r="DQ14" s="22"/>
      <c r="DR14" s="22"/>
      <c r="DS14" s="22"/>
      <c r="DT14" s="22"/>
      <c r="DU14" s="22"/>
      <c r="DV14" s="22"/>
      <c r="DW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JI14" s="22"/>
      <c r="JJ14" s="22"/>
      <c r="JK14" s="22"/>
      <c r="JL14" s="22"/>
      <c r="JM14" s="22"/>
      <c r="JN14" s="22"/>
      <c r="JO14" s="22"/>
      <c r="JP14" s="22"/>
      <c r="JQ14" s="22"/>
      <c r="JR14" s="22"/>
      <c r="JS14" s="22"/>
      <c r="JT14" s="22"/>
      <c r="JU14" s="22"/>
      <c r="JV14" s="22"/>
      <c r="JW14" s="22"/>
      <c r="JX14" s="22"/>
      <c r="JY14" s="22"/>
      <c r="JZ14" s="22"/>
      <c r="KA14" s="22"/>
      <c r="KB14" s="22"/>
    </row>
    <row r="15" spans="1:443">
      <c r="A15" s="17">
        <v>45670</v>
      </c>
      <c r="L15" s="22"/>
      <c r="M15" s="22"/>
      <c r="N15" s="22"/>
      <c r="O15" s="22"/>
      <c r="P15" s="22"/>
      <c r="Q15" s="22"/>
      <c r="R15" s="22"/>
      <c r="S15" s="22"/>
      <c r="T15" s="22"/>
      <c r="U15" s="22"/>
      <c r="V15" s="22"/>
      <c r="W15" s="22"/>
      <c r="X15" s="22"/>
      <c r="AB15" s="22"/>
      <c r="AC15" s="22"/>
      <c r="AD15" s="22"/>
      <c r="AE15" s="22"/>
      <c r="AF15" s="22"/>
      <c r="AG15" s="22"/>
      <c r="AH15" s="22"/>
      <c r="AI15" s="22"/>
      <c r="AJ15" s="22"/>
      <c r="AK15" s="22"/>
      <c r="AL15" s="22"/>
      <c r="AM15" s="22"/>
      <c r="AN15" s="22"/>
      <c r="DI15" s="22"/>
      <c r="DJ15" s="22"/>
      <c r="DK15" s="22"/>
      <c r="DL15" s="22"/>
      <c r="DM15" s="22"/>
      <c r="DN15" s="22"/>
      <c r="DO15" s="22"/>
      <c r="DP15" s="22"/>
      <c r="DQ15" s="22"/>
      <c r="DR15" s="22"/>
      <c r="DS15" s="22"/>
      <c r="DT15" s="22"/>
      <c r="DU15" s="22"/>
      <c r="DV15" s="22"/>
      <c r="DW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JI15" s="22"/>
      <c r="JJ15" s="22"/>
      <c r="JK15" s="22"/>
      <c r="JL15" s="22"/>
      <c r="JM15" s="22"/>
      <c r="JN15" s="22"/>
      <c r="JO15" s="22"/>
      <c r="JP15" s="22"/>
      <c r="JQ15" s="22"/>
      <c r="JR15" s="22"/>
      <c r="JS15" s="22"/>
      <c r="JT15" s="22"/>
      <c r="JU15" s="22"/>
      <c r="JV15" s="22"/>
      <c r="JW15" s="22"/>
      <c r="JX15" s="22"/>
      <c r="JY15" s="22"/>
      <c r="JZ15" s="22"/>
      <c r="KA15" s="22"/>
      <c r="KB15" s="22"/>
    </row>
    <row r="16" spans="1:443">
      <c r="A16" s="17">
        <v>45671</v>
      </c>
      <c r="L16" s="22"/>
      <c r="M16" s="22"/>
      <c r="N16" s="22"/>
      <c r="O16" s="22"/>
      <c r="P16" s="22"/>
      <c r="Q16" s="22"/>
      <c r="R16" s="22"/>
      <c r="S16" s="22"/>
      <c r="T16" s="22"/>
      <c r="U16" s="22"/>
      <c r="V16" s="22"/>
      <c r="W16" s="22"/>
      <c r="X16" s="22"/>
      <c r="AB16" s="22"/>
      <c r="AC16" s="22"/>
      <c r="AD16" s="22"/>
      <c r="AE16" s="22"/>
      <c r="AF16" s="22"/>
      <c r="AG16" s="22"/>
      <c r="AH16" s="22"/>
      <c r="AI16" s="22"/>
      <c r="AJ16" s="22"/>
      <c r="AK16" s="22"/>
      <c r="AL16" s="22"/>
      <c r="AM16" s="22"/>
      <c r="AN16" s="22"/>
      <c r="DI16" s="22"/>
      <c r="DJ16" s="22"/>
      <c r="DK16" s="22"/>
      <c r="DL16" s="22"/>
      <c r="DM16" s="22"/>
      <c r="DN16" s="22"/>
      <c r="DO16" s="22"/>
      <c r="DP16" s="22"/>
      <c r="DQ16" s="22"/>
      <c r="DR16" s="22"/>
      <c r="DS16" s="22"/>
      <c r="DT16" s="22"/>
      <c r="DU16" s="22"/>
      <c r="DV16" s="22"/>
      <c r="DW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JI16" s="22"/>
      <c r="JJ16" s="22"/>
      <c r="JK16" s="22"/>
      <c r="JL16" s="22"/>
      <c r="JM16" s="22"/>
      <c r="JN16" s="22"/>
      <c r="JO16" s="22"/>
      <c r="JP16" s="22"/>
      <c r="JQ16" s="22"/>
      <c r="JR16" s="22"/>
      <c r="JS16" s="22"/>
      <c r="JT16" s="22"/>
      <c r="JU16" s="22"/>
      <c r="JV16" s="22"/>
      <c r="JW16" s="22"/>
      <c r="JX16" s="22"/>
      <c r="JY16" s="22"/>
      <c r="JZ16" s="22"/>
      <c r="KA16" s="22"/>
      <c r="KB16" s="22"/>
    </row>
    <row r="17" spans="1:288">
      <c r="A17" s="17">
        <v>45672</v>
      </c>
      <c r="L17" s="22"/>
      <c r="M17" s="22"/>
      <c r="N17" s="22"/>
      <c r="O17" s="22"/>
      <c r="P17" s="22"/>
      <c r="Q17" s="22"/>
      <c r="R17" s="22"/>
      <c r="S17" s="22"/>
      <c r="T17" s="22"/>
      <c r="U17" s="22"/>
      <c r="V17" s="22"/>
      <c r="W17" s="22"/>
      <c r="X17" s="22"/>
      <c r="AB17" s="22"/>
      <c r="AC17" s="22"/>
      <c r="AD17" s="22"/>
      <c r="AE17" s="22"/>
      <c r="AF17" s="22"/>
      <c r="AG17" s="22"/>
      <c r="AH17" s="22"/>
      <c r="AI17" s="22"/>
      <c r="AJ17" s="22"/>
      <c r="AK17" s="22"/>
      <c r="AL17" s="22"/>
      <c r="AM17" s="22"/>
      <c r="AN17" s="22"/>
      <c r="DI17" s="22"/>
      <c r="DJ17" s="22"/>
      <c r="DK17" s="22"/>
      <c r="DL17" s="22"/>
      <c r="DM17" s="22"/>
      <c r="DN17" s="22"/>
      <c r="DO17" s="22"/>
      <c r="DP17" s="22"/>
      <c r="DQ17" s="22"/>
      <c r="DR17" s="22"/>
      <c r="DS17" s="22"/>
      <c r="DT17" s="22"/>
      <c r="DU17" s="22"/>
      <c r="DV17" s="22"/>
      <c r="DW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JI17" s="22"/>
      <c r="JJ17" s="22"/>
      <c r="JK17" s="22"/>
      <c r="JL17" s="22"/>
      <c r="JM17" s="22"/>
      <c r="JN17" s="22"/>
      <c r="JO17" s="22"/>
      <c r="JP17" s="22"/>
      <c r="JQ17" s="22"/>
      <c r="JR17" s="22"/>
      <c r="JS17" s="22"/>
      <c r="JT17" s="22"/>
      <c r="JU17" s="22"/>
      <c r="JV17" s="22"/>
      <c r="JW17" s="22"/>
      <c r="JX17" s="22"/>
      <c r="JY17" s="22"/>
      <c r="JZ17" s="22"/>
      <c r="KA17" s="22"/>
      <c r="KB17" s="22"/>
    </row>
    <row r="18" spans="1:288">
      <c r="A18" s="17">
        <v>45673</v>
      </c>
      <c r="L18" s="22"/>
      <c r="M18" s="22"/>
      <c r="N18" s="22"/>
      <c r="O18" s="22"/>
      <c r="P18" s="22"/>
      <c r="Q18" s="22"/>
      <c r="R18" s="22"/>
      <c r="S18" s="22"/>
      <c r="T18" s="22"/>
      <c r="U18" s="22"/>
      <c r="V18" s="22"/>
      <c r="W18" s="22"/>
      <c r="X18" s="22"/>
      <c r="AB18" s="22"/>
      <c r="AC18" s="22"/>
      <c r="AD18" s="22"/>
      <c r="AE18" s="22"/>
      <c r="AF18" s="22"/>
      <c r="AG18" s="22"/>
      <c r="AH18" s="22"/>
      <c r="AI18" s="22"/>
      <c r="AJ18" s="22"/>
      <c r="AK18" s="22"/>
      <c r="AL18" s="22"/>
      <c r="AM18" s="22"/>
      <c r="AN18" s="22"/>
      <c r="DI18" s="22"/>
      <c r="DJ18" s="22"/>
      <c r="DK18" s="22"/>
      <c r="DL18" s="22"/>
      <c r="DM18" s="22"/>
      <c r="DN18" s="22"/>
      <c r="DO18" s="22"/>
      <c r="DP18" s="22"/>
      <c r="DQ18" s="22"/>
      <c r="DR18" s="22"/>
      <c r="DS18" s="22"/>
      <c r="DT18" s="22"/>
      <c r="DU18" s="22"/>
      <c r="DV18" s="22"/>
      <c r="DW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JI18" s="22"/>
      <c r="JJ18" s="22"/>
      <c r="JK18" s="22"/>
      <c r="JL18" s="22"/>
      <c r="JM18" s="22"/>
      <c r="JN18" s="22"/>
      <c r="JO18" s="22"/>
      <c r="JP18" s="22"/>
      <c r="JQ18" s="22"/>
      <c r="JR18" s="22"/>
      <c r="JS18" s="22"/>
      <c r="JT18" s="22"/>
      <c r="JU18" s="22"/>
      <c r="JV18" s="22"/>
      <c r="JW18" s="22"/>
      <c r="JX18" s="22"/>
      <c r="JY18" s="22"/>
      <c r="JZ18" s="22"/>
      <c r="KA18" s="22"/>
      <c r="KB18" s="22"/>
    </row>
    <row r="19" spans="1:288">
      <c r="A19" s="17">
        <v>45674</v>
      </c>
      <c r="L19" s="22"/>
      <c r="M19" s="22"/>
      <c r="N19" s="22"/>
      <c r="O19" s="22"/>
      <c r="P19" s="22"/>
      <c r="Q19" s="22"/>
      <c r="R19" s="22"/>
      <c r="S19" s="22"/>
      <c r="T19" s="22"/>
      <c r="U19" s="22"/>
      <c r="V19" s="22"/>
      <c r="W19" s="22"/>
      <c r="X19" s="22"/>
      <c r="AB19" s="22"/>
      <c r="AC19" s="22"/>
      <c r="AD19" s="22"/>
      <c r="AE19" s="22"/>
      <c r="AF19" s="22"/>
      <c r="AG19" s="22"/>
      <c r="AH19" s="22"/>
      <c r="AI19" s="22"/>
      <c r="AJ19" s="22"/>
      <c r="AK19" s="22"/>
      <c r="AL19" s="22"/>
      <c r="AM19" s="22"/>
      <c r="AN19" s="22"/>
      <c r="DI19" s="22"/>
      <c r="DJ19" s="22"/>
      <c r="DK19" s="22"/>
      <c r="DL19" s="22"/>
      <c r="DM19" s="22"/>
      <c r="DN19" s="22"/>
      <c r="DO19" s="22"/>
      <c r="DP19" s="22"/>
      <c r="DQ19" s="22"/>
      <c r="DR19" s="22"/>
      <c r="DS19" s="22"/>
      <c r="DT19" s="22"/>
      <c r="DU19" s="22"/>
      <c r="DV19" s="22"/>
      <c r="DW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JI19" s="22"/>
      <c r="JJ19" s="22"/>
      <c r="JK19" s="22"/>
      <c r="JL19" s="22"/>
      <c r="JM19" s="22"/>
      <c r="JN19" s="22"/>
      <c r="JO19" s="22"/>
      <c r="JP19" s="22"/>
      <c r="JQ19" s="22"/>
      <c r="JR19" s="22"/>
      <c r="JS19" s="22"/>
      <c r="JT19" s="22"/>
      <c r="JU19" s="22"/>
      <c r="JV19" s="22"/>
      <c r="JW19" s="22"/>
      <c r="JX19" s="22"/>
      <c r="JY19" s="22"/>
      <c r="JZ19" s="22"/>
      <c r="KA19" s="22"/>
      <c r="KB19" s="22"/>
    </row>
    <row r="20" spans="1:288">
      <c r="A20" s="17">
        <v>45675</v>
      </c>
      <c r="L20" s="22"/>
      <c r="M20" s="22"/>
      <c r="N20" s="22"/>
      <c r="O20" s="22"/>
      <c r="P20" s="22"/>
      <c r="Q20" s="22"/>
      <c r="R20" s="22"/>
      <c r="S20" s="22"/>
      <c r="T20" s="22"/>
      <c r="U20" s="22"/>
      <c r="V20" s="22"/>
      <c r="W20" s="22"/>
      <c r="X20" s="22"/>
      <c r="AB20" s="22"/>
      <c r="AC20" s="22"/>
      <c r="AD20" s="22"/>
      <c r="AE20" s="22"/>
      <c r="AF20" s="22"/>
      <c r="AG20" s="22"/>
      <c r="AH20" s="22"/>
      <c r="AI20" s="22"/>
      <c r="AJ20" s="22"/>
      <c r="AK20" s="22"/>
      <c r="AL20" s="22"/>
      <c r="AM20" s="22"/>
      <c r="AN20" s="22"/>
      <c r="DI20" s="22"/>
      <c r="DJ20" s="22"/>
      <c r="DK20" s="22"/>
      <c r="DL20" s="22"/>
      <c r="DM20" s="22"/>
      <c r="DN20" s="22"/>
      <c r="DO20" s="22"/>
      <c r="DP20" s="22"/>
      <c r="DQ20" s="22"/>
      <c r="DR20" s="22"/>
      <c r="DS20" s="22"/>
      <c r="DT20" s="22"/>
      <c r="DU20" s="22"/>
      <c r="DV20" s="22"/>
      <c r="DW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JI20" s="22"/>
      <c r="JJ20" s="22"/>
      <c r="JK20" s="22"/>
      <c r="JL20" s="22"/>
      <c r="JM20" s="22"/>
      <c r="JN20" s="22"/>
      <c r="JO20" s="22"/>
      <c r="JP20" s="22"/>
      <c r="JQ20" s="22"/>
      <c r="JR20" s="22"/>
      <c r="JS20" s="22"/>
      <c r="JT20" s="22"/>
      <c r="JU20" s="22"/>
      <c r="JV20" s="22"/>
      <c r="JW20" s="22"/>
      <c r="JX20" s="22"/>
      <c r="JY20" s="22"/>
      <c r="JZ20" s="22"/>
      <c r="KA20" s="22"/>
      <c r="KB20" s="22"/>
    </row>
    <row r="21" spans="1:288">
      <c r="A21" s="17">
        <v>45676</v>
      </c>
      <c r="L21" s="22"/>
      <c r="M21" s="22"/>
      <c r="N21" s="22"/>
      <c r="O21" s="22"/>
      <c r="P21" s="22"/>
      <c r="Q21" s="22"/>
      <c r="R21" s="22"/>
      <c r="S21" s="22"/>
      <c r="T21" s="22"/>
      <c r="U21" s="22"/>
      <c r="V21" s="22"/>
      <c r="W21" s="22"/>
      <c r="X21" s="22"/>
      <c r="AB21" s="22"/>
      <c r="AC21" s="22"/>
      <c r="AD21" s="22"/>
      <c r="AE21" s="22"/>
      <c r="AF21" s="22"/>
      <c r="AG21" s="22"/>
      <c r="AH21" s="22"/>
      <c r="AI21" s="22"/>
      <c r="AJ21" s="22"/>
      <c r="AK21" s="22"/>
      <c r="AL21" s="22"/>
      <c r="AM21" s="22"/>
      <c r="AN21" s="22"/>
      <c r="DI21" s="22"/>
      <c r="DJ21" s="22"/>
      <c r="DK21" s="22"/>
      <c r="DL21" s="22"/>
      <c r="DM21" s="22"/>
      <c r="DN21" s="22"/>
      <c r="DO21" s="22"/>
      <c r="DP21" s="22"/>
      <c r="DQ21" s="22"/>
      <c r="DR21" s="22"/>
      <c r="DS21" s="22"/>
      <c r="DT21" s="22"/>
      <c r="DU21" s="22"/>
      <c r="DV21" s="22"/>
      <c r="DW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JI21" s="22"/>
      <c r="JJ21" s="22"/>
      <c r="JK21" s="22"/>
      <c r="JL21" s="22"/>
      <c r="JM21" s="22"/>
      <c r="JN21" s="22"/>
      <c r="JO21" s="22"/>
      <c r="JP21" s="22"/>
      <c r="JQ21" s="22"/>
      <c r="JR21" s="22"/>
      <c r="JS21" s="22"/>
      <c r="JT21" s="22"/>
      <c r="JU21" s="22"/>
      <c r="JV21" s="22"/>
      <c r="JW21" s="22"/>
      <c r="JX21" s="22"/>
      <c r="JY21" s="22"/>
      <c r="JZ21" s="22"/>
      <c r="KA21" s="22"/>
      <c r="KB21" s="22"/>
    </row>
    <row r="22" spans="1:288">
      <c r="A22" s="17">
        <v>45677</v>
      </c>
      <c r="L22" s="22"/>
      <c r="M22" s="22"/>
      <c r="N22" s="22"/>
      <c r="O22" s="22"/>
      <c r="P22" s="22"/>
      <c r="Q22" s="22"/>
      <c r="R22" s="22"/>
      <c r="S22" s="22"/>
      <c r="T22" s="22"/>
      <c r="U22" s="22"/>
      <c r="V22" s="22"/>
      <c r="W22" s="22"/>
      <c r="X22" s="22"/>
      <c r="AB22" s="22"/>
      <c r="AC22" s="22"/>
      <c r="AD22" s="22"/>
      <c r="AE22" s="22"/>
      <c r="AF22" s="22"/>
      <c r="AG22" s="22"/>
      <c r="AH22" s="22"/>
      <c r="AI22" s="22"/>
      <c r="AJ22" s="22"/>
      <c r="AK22" s="22"/>
      <c r="AL22" s="22"/>
      <c r="AM22" s="22"/>
      <c r="AN22" s="22"/>
      <c r="DI22" s="22"/>
      <c r="DJ22" s="22"/>
      <c r="DK22" s="22"/>
      <c r="DL22" s="22"/>
      <c r="DM22" s="22"/>
      <c r="DN22" s="22"/>
      <c r="DO22" s="22"/>
      <c r="DP22" s="22"/>
      <c r="DQ22" s="22"/>
      <c r="DR22" s="22"/>
      <c r="DS22" s="22"/>
      <c r="DT22" s="22"/>
      <c r="DU22" s="22"/>
      <c r="DV22" s="22"/>
      <c r="DW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JI22" s="22"/>
      <c r="JJ22" s="22"/>
      <c r="JK22" s="22"/>
      <c r="JL22" s="22"/>
      <c r="JM22" s="22"/>
      <c r="JN22" s="22"/>
      <c r="JO22" s="22"/>
      <c r="JP22" s="22"/>
      <c r="JQ22" s="22"/>
      <c r="JR22" s="22"/>
      <c r="JS22" s="22"/>
      <c r="JT22" s="22"/>
      <c r="JU22" s="22"/>
      <c r="JV22" s="22"/>
      <c r="JW22" s="22"/>
      <c r="JX22" s="22"/>
      <c r="JY22" s="22"/>
      <c r="JZ22" s="22"/>
      <c r="KA22" s="22"/>
      <c r="KB22" s="22"/>
    </row>
    <row r="23" spans="1:288">
      <c r="A23" s="17">
        <v>45678</v>
      </c>
      <c r="L23" s="22"/>
      <c r="M23" s="22"/>
      <c r="N23" s="22"/>
      <c r="O23" s="22"/>
      <c r="P23" s="22"/>
      <c r="Q23" s="22"/>
      <c r="R23" s="22"/>
      <c r="S23" s="22"/>
      <c r="T23" s="22"/>
      <c r="U23" s="22"/>
      <c r="V23" s="22"/>
      <c r="W23" s="22"/>
      <c r="X23" s="22"/>
      <c r="AB23" s="22"/>
      <c r="AC23" s="22"/>
      <c r="AD23" s="22"/>
      <c r="AE23" s="22"/>
      <c r="AF23" s="22"/>
      <c r="AG23" s="22"/>
      <c r="AH23" s="22"/>
      <c r="AI23" s="22"/>
      <c r="AJ23" s="22"/>
      <c r="AK23" s="22"/>
      <c r="AL23" s="22"/>
      <c r="AM23" s="22"/>
      <c r="AN23" s="22"/>
      <c r="DI23" s="22"/>
      <c r="DJ23" s="22"/>
      <c r="DK23" s="22"/>
      <c r="DL23" s="22"/>
      <c r="DM23" s="22"/>
      <c r="DN23" s="22"/>
      <c r="DO23" s="22"/>
      <c r="DP23" s="22"/>
      <c r="DQ23" s="22"/>
      <c r="DR23" s="22"/>
      <c r="DS23" s="22"/>
      <c r="DT23" s="22"/>
      <c r="DU23" s="22"/>
      <c r="DV23" s="22"/>
      <c r="DW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JI23" s="22"/>
      <c r="JJ23" s="22"/>
      <c r="JK23" s="22"/>
      <c r="JL23" s="22"/>
      <c r="JM23" s="22"/>
      <c r="JN23" s="22"/>
      <c r="JO23" s="22"/>
      <c r="JP23" s="22"/>
      <c r="JQ23" s="22"/>
      <c r="JR23" s="22"/>
      <c r="JS23" s="22"/>
      <c r="JT23" s="22"/>
      <c r="JU23" s="22"/>
      <c r="JV23" s="22"/>
      <c r="JW23" s="22"/>
      <c r="JX23" s="22"/>
      <c r="JY23" s="22"/>
      <c r="JZ23" s="22"/>
      <c r="KA23" s="22"/>
      <c r="KB23" s="22"/>
    </row>
    <row r="24" spans="1:288">
      <c r="A24" s="17">
        <v>45679</v>
      </c>
      <c r="L24" s="22"/>
      <c r="M24" s="22"/>
      <c r="N24" s="22"/>
      <c r="O24" s="22"/>
      <c r="P24" s="22"/>
      <c r="Q24" s="22"/>
      <c r="R24" s="22"/>
      <c r="S24" s="22"/>
      <c r="T24" s="22"/>
      <c r="U24" s="22"/>
      <c r="V24" s="22"/>
      <c r="W24" s="22"/>
      <c r="X24" s="22"/>
      <c r="AB24" s="22"/>
      <c r="AC24" s="22"/>
      <c r="AD24" s="22"/>
      <c r="AE24" s="22"/>
      <c r="AF24" s="22"/>
      <c r="AG24" s="22"/>
      <c r="AH24" s="22"/>
      <c r="AI24" s="22"/>
      <c r="AJ24" s="22"/>
      <c r="AK24" s="22"/>
      <c r="AL24" s="22"/>
      <c r="AM24" s="22"/>
      <c r="AN24" s="22"/>
      <c r="DI24" s="22"/>
      <c r="DJ24" s="22"/>
      <c r="DK24" s="22"/>
      <c r="DL24" s="22"/>
      <c r="DM24" s="22"/>
      <c r="DN24" s="22"/>
      <c r="DO24" s="22"/>
      <c r="DP24" s="22"/>
      <c r="DQ24" s="22"/>
      <c r="DR24" s="22"/>
      <c r="DS24" s="22"/>
      <c r="DT24" s="22"/>
      <c r="DU24" s="22"/>
      <c r="DV24" s="22"/>
      <c r="DW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JI24" s="22"/>
      <c r="JJ24" s="22"/>
      <c r="JK24" s="22"/>
      <c r="JL24" s="22"/>
      <c r="JM24" s="22"/>
      <c r="JN24" s="22"/>
      <c r="JO24" s="22"/>
      <c r="JP24" s="22"/>
      <c r="JQ24" s="22"/>
      <c r="JR24" s="22"/>
      <c r="JS24" s="22"/>
      <c r="JT24" s="22"/>
      <c r="JU24" s="22"/>
      <c r="JV24" s="22"/>
      <c r="JW24" s="22"/>
      <c r="JX24" s="22"/>
      <c r="JY24" s="22"/>
      <c r="JZ24" s="22"/>
      <c r="KA24" s="22"/>
      <c r="KB24" s="22"/>
    </row>
    <row r="25" spans="1:288">
      <c r="A25" s="17">
        <v>45680</v>
      </c>
      <c r="L25" s="22"/>
      <c r="M25" s="22"/>
      <c r="N25" s="22"/>
      <c r="O25" s="22"/>
      <c r="P25" s="22"/>
      <c r="Q25" s="22"/>
      <c r="R25" s="22"/>
      <c r="S25" s="22"/>
      <c r="T25" s="22"/>
      <c r="U25" s="22"/>
      <c r="V25" s="22"/>
      <c r="W25" s="22"/>
      <c r="X25" s="22"/>
      <c r="AB25" s="22"/>
      <c r="AC25" s="22"/>
      <c r="AD25" s="22"/>
      <c r="AE25" s="22"/>
      <c r="AF25" s="22"/>
      <c r="AG25" s="22"/>
      <c r="AH25" s="22"/>
      <c r="AI25" s="22"/>
      <c r="AJ25" s="22"/>
      <c r="AK25" s="22"/>
      <c r="AL25" s="22"/>
      <c r="AM25" s="22"/>
      <c r="AN25" s="22"/>
      <c r="DI25" s="22"/>
      <c r="DJ25" s="22"/>
      <c r="DK25" s="22"/>
      <c r="DL25" s="22"/>
      <c r="DM25" s="22"/>
      <c r="DN25" s="22"/>
      <c r="DO25" s="22"/>
      <c r="DP25" s="22"/>
      <c r="DQ25" s="22"/>
      <c r="DR25" s="22"/>
      <c r="DS25" s="22"/>
      <c r="DT25" s="22"/>
      <c r="DU25" s="22"/>
      <c r="DV25" s="22"/>
      <c r="DW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JI25" s="22"/>
      <c r="JJ25" s="22"/>
      <c r="JK25" s="22"/>
      <c r="JL25" s="22"/>
      <c r="JM25" s="22"/>
      <c r="JN25" s="22"/>
      <c r="JO25" s="22"/>
      <c r="JP25" s="22"/>
      <c r="JQ25" s="22"/>
      <c r="JR25" s="22"/>
      <c r="JS25" s="22"/>
      <c r="JT25" s="22"/>
      <c r="JU25" s="22"/>
      <c r="JV25" s="22"/>
      <c r="JW25" s="22"/>
      <c r="JX25" s="22"/>
      <c r="JY25" s="22"/>
      <c r="JZ25" s="22"/>
      <c r="KA25" s="22"/>
      <c r="KB25" s="22"/>
    </row>
    <row r="26" spans="1:288">
      <c r="A26" s="17">
        <v>45681</v>
      </c>
      <c r="L26" s="22"/>
      <c r="M26" s="22"/>
      <c r="N26" s="22"/>
      <c r="O26" s="22"/>
      <c r="P26" s="22"/>
      <c r="Q26" s="22"/>
      <c r="R26" s="22"/>
      <c r="S26" s="22"/>
      <c r="T26" s="22"/>
      <c r="U26" s="22"/>
      <c r="V26" s="22"/>
      <c r="W26" s="22"/>
      <c r="X26" s="22"/>
      <c r="AB26" s="22"/>
      <c r="AC26" s="22"/>
      <c r="AD26" s="22"/>
      <c r="AE26" s="22"/>
      <c r="AF26" s="22"/>
      <c r="AG26" s="22"/>
      <c r="AH26" s="22"/>
      <c r="AI26" s="22"/>
      <c r="AJ26" s="22"/>
      <c r="AK26" s="22"/>
      <c r="AL26" s="22"/>
      <c r="AM26" s="22"/>
      <c r="AN26" s="22"/>
      <c r="DI26" s="22"/>
      <c r="DJ26" s="22"/>
      <c r="DK26" s="22"/>
      <c r="DL26" s="22"/>
      <c r="DM26" s="22"/>
      <c r="DN26" s="22"/>
      <c r="DO26" s="22"/>
      <c r="DP26" s="22"/>
      <c r="DQ26" s="22"/>
      <c r="DR26" s="22"/>
      <c r="DS26" s="22"/>
      <c r="DT26" s="22"/>
      <c r="DU26" s="22"/>
      <c r="DV26" s="22"/>
      <c r="DW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JI26" s="22"/>
      <c r="JJ26" s="22"/>
      <c r="JK26" s="22"/>
      <c r="JL26" s="22"/>
      <c r="JM26" s="22"/>
      <c r="JN26" s="22"/>
      <c r="JO26" s="22"/>
      <c r="JP26" s="22"/>
      <c r="JQ26" s="22"/>
      <c r="JR26" s="22"/>
      <c r="JS26" s="22"/>
      <c r="JT26" s="22"/>
      <c r="JU26" s="22"/>
      <c r="JV26" s="22"/>
      <c r="JW26" s="22"/>
      <c r="JX26" s="22"/>
      <c r="JY26" s="22"/>
      <c r="JZ26" s="22"/>
      <c r="KA26" s="22"/>
      <c r="KB26" s="22"/>
    </row>
    <row r="27" spans="1:288">
      <c r="A27" s="17">
        <v>45682</v>
      </c>
      <c r="L27" s="22"/>
      <c r="M27" s="22"/>
      <c r="N27" s="22"/>
      <c r="O27" s="22"/>
      <c r="P27" s="22"/>
      <c r="Q27" s="22"/>
      <c r="R27" s="22"/>
      <c r="S27" s="22"/>
      <c r="T27" s="22"/>
      <c r="U27" s="22"/>
      <c r="V27" s="22"/>
      <c r="W27" s="22"/>
      <c r="X27" s="22"/>
      <c r="AB27" s="22"/>
      <c r="AC27" s="22"/>
      <c r="AD27" s="22"/>
      <c r="AE27" s="22"/>
      <c r="AF27" s="22"/>
      <c r="AG27" s="22"/>
      <c r="AH27" s="22"/>
      <c r="AI27" s="22"/>
      <c r="AJ27" s="22"/>
      <c r="AK27" s="22"/>
      <c r="AL27" s="22"/>
      <c r="AM27" s="22"/>
      <c r="AN27" s="22"/>
      <c r="DI27" s="22"/>
      <c r="DJ27" s="22"/>
      <c r="DK27" s="22"/>
      <c r="DL27" s="22"/>
      <c r="DM27" s="22"/>
      <c r="DN27" s="22"/>
      <c r="DO27" s="22"/>
      <c r="DP27" s="22"/>
      <c r="DQ27" s="22"/>
      <c r="DR27" s="22"/>
      <c r="DS27" s="22"/>
      <c r="DT27" s="22"/>
      <c r="DU27" s="22"/>
      <c r="DV27" s="22"/>
      <c r="DW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JI27" s="22"/>
      <c r="JJ27" s="22"/>
      <c r="JK27" s="22"/>
      <c r="JL27" s="22"/>
      <c r="JM27" s="22"/>
      <c r="JN27" s="22"/>
      <c r="JO27" s="22"/>
      <c r="JP27" s="22"/>
      <c r="JQ27" s="22"/>
      <c r="JR27" s="22"/>
      <c r="JS27" s="22"/>
      <c r="JT27" s="22"/>
      <c r="JU27" s="22"/>
      <c r="JV27" s="22"/>
      <c r="JW27" s="22"/>
      <c r="JX27" s="22"/>
      <c r="JY27" s="22"/>
      <c r="JZ27" s="22"/>
      <c r="KA27" s="22"/>
      <c r="KB27" s="22"/>
    </row>
    <row r="28" spans="1:288">
      <c r="A28" s="17">
        <v>45683</v>
      </c>
      <c r="L28" s="22"/>
      <c r="M28" s="22"/>
      <c r="N28" s="22"/>
      <c r="O28" s="22"/>
      <c r="P28" s="22"/>
      <c r="Q28" s="22"/>
      <c r="R28" s="22"/>
      <c r="S28" s="22"/>
      <c r="T28" s="22"/>
      <c r="U28" s="22"/>
      <c r="V28" s="22"/>
      <c r="W28" s="22"/>
      <c r="X28" s="22"/>
      <c r="AB28" s="22"/>
      <c r="AC28" s="22"/>
      <c r="AD28" s="22"/>
      <c r="AE28" s="22"/>
      <c r="AF28" s="22"/>
      <c r="AG28" s="22"/>
      <c r="AH28" s="22"/>
      <c r="AI28" s="22"/>
      <c r="AJ28" s="22"/>
      <c r="AK28" s="22"/>
      <c r="AL28" s="22"/>
      <c r="AM28" s="22"/>
      <c r="AN28" s="22"/>
      <c r="DI28" s="22"/>
      <c r="DJ28" s="22"/>
      <c r="DK28" s="22"/>
      <c r="DL28" s="22"/>
      <c r="DM28" s="22"/>
      <c r="DN28" s="22"/>
      <c r="DO28" s="22"/>
      <c r="DP28" s="22"/>
      <c r="DQ28" s="22"/>
      <c r="DR28" s="22"/>
      <c r="DS28" s="22"/>
      <c r="DT28" s="22"/>
      <c r="DU28" s="22"/>
      <c r="DV28" s="22"/>
      <c r="DW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JI28" s="22"/>
      <c r="JJ28" s="22"/>
      <c r="JK28" s="22"/>
      <c r="JL28" s="22"/>
      <c r="JM28" s="22"/>
      <c r="JN28" s="22"/>
      <c r="JO28" s="22"/>
      <c r="JP28" s="22"/>
      <c r="JQ28" s="22"/>
      <c r="JR28" s="22"/>
      <c r="JS28" s="22"/>
      <c r="JT28" s="22"/>
      <c r="JU28" s="22"/>
      <c r="JV28" s="22"/>
      <c r="JW28" s="22"/>
      <c r="JX28" s="22"/>
      <c r="JY28" s="22"/>
      <c r="JZ28" s="22"/>
      <c r="KA28" s="22"/>
      <c r="KB28" s="22"/>
    </row>
    <row r="29" spans="1:288">
      <c r="A29" s="17">
        <v>45684</v>
      </c>
      <c r="L29" s="22"/>
      <c r="M29" s="22"/>
      <c r="N29" s="22"/>
      <c r="O29" s="22"/>
      <c r="P29" s="22"/>
      <c r="Q29" s="22"/>
      <c r="R29" s="22"/>
      <c r="S29" s="22"/>
      <c r="T29" s="22"/>
      <c r="U29" s="22"/>
      <c r="V29" s="22"/>
      <c r="W29" s="22"/>
      <c r="X29" s="22"/>
      <c r="AB29" s="22"/>
      <c r="AC29" s="22"/>
      <c r="AD29" s="22"/>
      <c r="AE29" s="22"/>
      <c r="AF29" s="22"/>
      <c r="AG29" s="22"/>
      <c r="AH29" s="22"/>
      <c r="AI29" s="22"/>
      <c r="AJ29" s="22"/>
      <c r="AK29" s="22"/>
      <c r="AL29" s="22"/>
      <c r="AM29" s="22"/>
      <c r="AN29" s="22"/>
      <c r="DI29" s="22"/>
      <c r="DJ29" s="22"/>
      <c r="DK29" s="22"/>
      <c r="DL29" s="22"/>
      <c r="DM29" s="22"/>
      <c r="DN29" s="22"/>
      <c r="DO29" s="22"/>
      <c r="DP29" s="22"/>
      <c r="DQ29" s="22"/>
      <c r="DR29" s="22"/>
      <c r="DS29" s="22"/>
      <c r="DT29" s="22"/>
      <c r="DU29" s="22"/>
      <c r="DV29" s="22"/>
      <c r="DW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JI29" s="22"/>
      <c r="JJ29" s="22"/>
      <c r="JK29" s="22"/>
      <c r="JL29" s="22"/>
      <c r="JM29" s="22"/>
      <c r="JN29" s="22"/>
      <c r="JO29" s="22"/>
      <c r="JP29" s="22"/>
      <c r="JQ29" s="22"/>
      <c r="JR29" s="22"/>
      <c r="JS29" s="22"/>
      <c r="JT29" s="22"/>
      <c r="JU29" s="22"/>
      <c r="JV29" s="22"/>
      <c r="JW29" s="22"/>
      <c r="JX29" s="22"/>
      <c r="JY29" s="22"/>
      <c r="JZ29" s="22"/>
      <c r="KA29" s="22"/>
      <c r="KB29" s="22"/>
    </row>
    <row r="30" spans="1:288">
      <c r="A30" s="17">
        <v>45685</v>
      </c>
      <c r="L30" s="22"/>
      <c r="M30" s="22"/>
      <c r="N30" s="22"/>
      <c r="O30" s="22"/>
      <c r="P30" s="22"/>
      <c r="Q30" s="22"/>
      <c r="R30" s="22"/>
      <c r="S30" s="22"/>
      <c r="T30" s="22"/>
      <c r="U30" s="22"/>
      <c r="V30" s="22"/>
      <c r="W30" s="22"/>
      <c r="X30" s="22"/>
      <c r="AB30" s="22"/>
      <c r="AC30" s="22"/>
      <c r="AD30" s="22"/>
      <c r="AE30" s="22"/>
      <c r="AF30" s="22"/>
      <c r="AG30" s="22"/>
      <c r="AH30" s="22"/>
      <c r="AI30" s="22"/>
      <c r="AJ30" s="22"/>
      <c r="AK30" s="22"/>
      <c r="AL30" s="22"/>
      <c r="AM30" s="22"/>
      <c r="AN30" s="22"/>
      <c r="DI30" s="22"/>
      <c r="DJ30" s="22"/>
      <c r="DK30" s="22"/>
      <c r="DL30" s="22"/>
      <c r="DM30" s="22"/>
      <c r="DN30" s="22"/>
      <c r="DO30" s="22"/>
      <c r="DP30" s="22"/>
      <c r="DQ30" s="22"/>
      <c r="DR30" s="22"/>
      <c r="DS30" s="22"/>
      <c r="DT30" s="22"/>
      <c r="DU30" s="22"/>
      <c r="DV30" s="22"/>
      <c r="DW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JI30" s="22"/>
      <c r="JJ30" s="22"/>
      <c r="JK30" s="22"/>
      <c r="JL30" s="22"/>
      <c r="JM30" s="22"/>
      <c r="JN30" s="22"/>
      <c r="JO30" s="22"/>
      <c r="JP30" s="22"/>
      <c r="JQ30" s="22"/>
      <c r="JR30" s="22"/>
      <c r="JS30" s="22"/>
      <c r="JT30" s="22"/>
      <c r="JU30" s="22"/>
      <c r="JV30" s="22"/>
      <c r="JW30" s="22"/>
      <c r="JX30" s="22"/>
      <c r="JY30" s="22"/>
      <c r="JZ30" s="22"/>
      <c r="KA30" s="22"/>
      <c r="KB30" s="22"/>
    </row>
    <row r="31" spans="1:288">
      <c r="A31" s="17">
        <v>45686</v>
      </c>
      <c r="L31" s="22"/>
      <c r="M31" s="22"/>
      <c r="N31" s="22"/>
      <c r="O31" s="22"/>
      <c r="P31" s="22"/>
      <c r="Q31" s="22"/>
      <c r="R31" s="22"/>
      <c r="S31" s="22"/>
      <c r="T31" s="22"/>
      <c r="U31" s="22"/>
      <c r="V31" s="22"/>
      <c r="W31" s="22"/>
      <c r="X31" s="22"/>
      <c r="AB31" s="22"/>
      <c r="AC31" s="22"/>
      <c r="AD31" s="22"/>
      <c r="AE31" s="22"/>
      <c r="AF31" s="22"/>
      <c r="AG31" s="22"/>
      <c r="AH31" s="22"/>
      <c r="AI31" s="22"/>
      <c r="AJ31" s="22"/>
      <c r="AK31" s="22"/>
      <c r="AL31" s="22"/>
      <c r="AM31" s="22"/>
      <c r="AN31" s="22"/>
      <c r="DI31" s="22"/>
      <c r="DJ31" s="22"/>
      <c r="DK31" s="22"/>
      <c r="DL31" s="22"/>
      <c r="DM31" s="22"/>
      <c r="DN31" s="22"/>
      <c r="DO31" s="22"/>
      <c r="DP31" s="22"/>
      <c r="DQ31" s="22"/>
      <c r="DR31" s="22"/>
      <c r="DS31" s="22"/>
      <c r="DT31" s="22"/>
      <c r="DU31" s="22"/>
      <c r="DV31" s="22"/>
      <c r="DW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JI31" s="22"/>
      <c r="JJ31" s="22"/>
      <c r="JK31" s="22"/>
      <c r="JL31" s="22"/>
      <c r="JM31" s="22"/>
      <c r="JN31" s="22"/>
      <c r="JO31" s="22"/>
      <c r="JP31" s="22"/>
      <c r="JQ31" s="22"/>
      <c r="JR31" s="22"/>
      <c r="JS31" s="22"/>
      <c r="JT31" s="22"/>
      <c r="JU31" s="22"/>
      <c r="JV31" s="22"/>
      <c r="JW31" s="22"/>
      <c r="JX31" s="22"/>
      <c r="JY31" s="22"/>
      <c r="JZ31" s="22"/>
      <c r="KA31" s="22"/>
      <c r="KB31" s="22"/>
    </row>
    <row r="32" spans="1:288">
      <c r="A32" s="17">
        <v>45687</v>
      </c>
      <c r="L32" s="22"/>
      <c r="M32" s="22"/>
      <c r="N32" s="22"/>
      <c r="O32" s="22"/>
      <c r="P32" s="22"/>
      <c r="Q32" s="22"/>
      <c r="R32" s="22"/>
      <c r="S32" s="22"/>
      <c r="T32" s="22"/>
      <c r="U32" s="22"/>
      <c r="V32" s="22"/>
      <c r="W32" s="22"/>
      <c r="X32" s="22"/>
      <c r="AB32" s="22"/>
      <c r="AC32" s="22"/>
      <c r="AD32" s="22"/>
      <c r="AE32" s="22"/>
      <c r="AF32" s="22"/>
      <c r="AG32" s="22"/>
      <c r="AH32" s="22"/>
      <c r="AI32" s="22"/>
      <c r="AJ32" s="22"/>
      <c r="AK32" s="22"/>
      <c r="AL32" s="22"/>
      <c r="AM32" s="22"/>
      <c r="AN32" s="22"/>
      <c r="DI32" s="22"/>
      <c r="DJ32" s="22"/>
      <c r="DK32" s="22"/>
      <c r="DL32" s="22"/>
      <c r="DM32" s="22"/>
      <c r="DN32" s="22"/>
      <c r="DO32" s="22"/>
      <c r="DP32" s="22"/>
      <c r="DQ32" s="22"/>
      <c r="DR32" s="22"/>
      <c r="DS32" s="22"/>
      <c r="DT32" s="22"/>
      <c r="DU32" s="22"/>
      <c r="DV32" s="22"/>
      <c r="DW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JI32" s="22"/>
      <c r="JJ32" s="22"/>
      <c r="JK32" s="22"/>
      <c r="JL32" s="22"/>
      <c r="JM32" s="22"/>
      <c r="JN32" s="22"/>
      <c r="JO32" s="22"/>
      <c r="JP32" s="22"/>
      <c r="JQ32" s="22"/>
      <c r="JR32" s="22"/>
      <c r="JS32" s="22"/>
      <c r="JT32" s="22"/>
      <c r="JU32" s="22"/>
      <c r="JV32" s="22"/>
      <c r="JW32" s="22"/>
      <c r="JX32" s="22"/>
      <c r="JY32" s="22"/>
      <c r="JZ32" s="22"/>
      <c r="KA32" s="22"/>
      <c r="KB32" s="22"/>
    </row>
    <row r="33" spans="1:288">
      <c r="A33" s="17">
        <v>45688</v>
      </c>
      <c r="L33" s="22"/>
      <c r="M33" s="22"/>
      <c r="N33" s="22"/>
      <c r="O33" s="22"/>
      <c r="P33" s="22"/>
      <c r="Q33" s="22"/>
      <c r="R33" s="22"/>
      <c r="S33" s="22"/>
      <c r="T33" s="22"/>
      <c r="U33" s="22"/>
      <c r="V33" s="22"/>
      <c r="W33" s="22"/>
      <c r="X33" s="22"/>
      <c r="AB33" s="22"/>
      <c r="AC33" s="22"/>
      <c r="AD33" s="22"/>
      <c r="AE33" s="22"/>
      <c r="AF33" s="22"/>
      <c r="AG33" s="22"/>
      <c r="AH33" s="22"/>
      <c r="AI33" s="22"/>
      <c r="AJ33" s="22"/>
      <c r="AK33" s="22"/>
      <c r="AL33" s="22"/>
      <c r="AM33" s="22"/>
      <c r="AN33" s="22"/>
      <c r="DI33" s="22"/>
      <c r="DJ33" s="22"/>
      <c r="DK33" s="22"/>
      <c r="DL33" s="22"/>
      <c r="DM33" s="22"/>
      <c r="DN33" s="22"/>
      <c r="DO33" s="22"/>
      <c r="DP33" s="22"/>
      <c r="DQ33" s="22"/>
      <c r="DR33" s="22"/>
      <c r="DS33" s="22"/>
      <c r="DT33" s="22"/>
      <c r="DU33" s="22"/>
      <c r="DV33" s="22"/>
      <c r="DW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JI33" s="22"/>
      <c r="JJ33" s="22"/>
      <c r="JK33" s="22"/>
      <c r="JL33" s="22"/>
      <c r="JM33" s="22"/>
      <c r="JN33" s="22"/>
      <c r="JO33" s="22"/>
      <c r="JP33" s="22"/>
      <c r="JQ33" s="22"/>
      <c r="JR33" s="22"/>
      <c r="JS33" s="22"/>
      <c r="JT33" s="22"/>
      <c r="JU33" s="22"/>
      <c r="JV33" s="22"/>
      <c r="JW33" s="22"/>
      <c r="JX33" s="22"/>
      <c r="JY33" s="22"/>
      <c r="JZ33" s="22"/>
      <c r="KA33" s="22"/>
      <c r="KB33" s="22"/>
    </row>
    <row r="35" spans="1:288">
      <c r="A35" s="18" t="s">
        <v>82</v>
      </c>
      <c r="C35" s="19">
        <f>MAX(C3:C33)</f>
        <v>5.75</v>
      </c>
      <c r="D35" s="19">
        <f t="shared" ref="D35:BO35" si="0">MAX(D3:D33)</f>
        <v>9.0533333333333328</v>
      </c>
      <c r="E35" s="19">
        <f t="shared" si="0"/>
        <v>23.433333333333334</v>
      </c>
      <c r="F35" s="42">
        <f t="shared" si="0"/>
        <v>1082.3333333333333</v>
      </c>
      <c r="G35" s="42">
        <f t="shared" si="0"/>
        <v>3562</v>
      </c>
      <c r="H35" s="42">
        <f t="shared" si="0"/>
        <v>2400</v>
      </c>
      <c r="I35" s="42">
        <f t="shared" si="0"/>
        <v>154</v>
      </c>
      <c r="J35" s="42">
        <f t="shared" si="0"/>
        <v>55.966666666666669</v>
      </c>
      <c r="K35" s="42">
        <f t="shared" si="0"/>
        <v>136.66666666666666</v>
      </c>
      <c r="L35" s="19">
        <f t="shared" si="0"/>
        <v>0</v>
      </c>
      <c r="M35" s="19">
        <f t="shared" si="0"/>
        <v>0</v>
      </c>
      <c r="N35" s="19">
        <f t="shared" si="0"/>
        <v>0</v>
      </c>
      <c r="O35" s="19">
        <f t="shared" si="0"/>
        <v>0</v>
      </c>
      <c r="P35" s="19">
        <f t="shared" si="0"/>
        <v>0</v>
      </c>
      <c r="Q35" s="19">
        <f t="shared" si="0"/>
        <v>0</v>
      </c>
      <c r="R35" s="19">
        <f t="shared" si="0"/>
        <v>0</v>
      </c>
      <c r="S35" s="19">
        <f t="shared" si="0"/>
        <v>0</v>
      </c>
      <c r="T35" s="19">
        <f t="shared" si="0"/>
        <v>0</v>
      </c>
      <c r="U35" s="19">
        <f t="shared" si="0"/>
        <v>0</v>
      </c>
      <c r="V35" s="19">
        <f t="shared" si="0"/>
        <v>0</v>
      </c>
      <c r="W35" s="19">
        <f t="shared" si="0"/>
        <v>0</v>
      </c>
      <c r="X35" s="19">
        <f t="shared" si="0"/>
        <v>0</v>
      </c>
      <c r="Y35" s="42">
        <f t="shared" si="0"/>
        <v>111.33333333333333</v>
      </c>
      <c r="Z35" s="42">
        <f t="shared" si="0"/>
        <v>36</v>
      </c>
      <c r="AA35" s="42">
        <f t="shared" si="0"/>
        <v>3833</v>
      </c>
      <c r="AB35" s="19">
        <f t="shared" si="0"/>
        <v>0</v>
      </c>
      <c r="AC35" s="19">
        <f t="shared" si="0"/>
        <v>0</v>
      </c>
      <c r="AD35" s="19">
        <f t="shared" si="0"/>
        <v>0</v>
      </c>
      <c r="AE35" s="19">
        <f t="shared" si="0"/>
        <v>0</v>
      </c>
      <c r="AF35" s="19">
        <f t="shared" si="0"/>
        <v>0</v>
      </c>
      <c r="AG35" s="19">
        <f t="shared" si="0"/>
        <v>0</v>
      </c>
      <c r="AH35" s="19">
        <f t="shared" si="0"/>
        <v>0</v>
      </c>
      <c r="AI35" s="19">
        <f t="shared" si="0"/>
        <v>0</v>
      </c>
      <c r="AJ35" s="19">
        <f t="shared" si="0"/>
        <v>0</v>
      </c>
      <c r="AK35" s="19">
        <f t="shared" si="0"/>
        <v>0</v>
      </c>
      <c r="AL35" s="19">
        <f t="shared" si="0"/>
        <v>0</v>
      </c>
      <c r="AM35" s="19">
        <f t="shared" si="0"/>
        <v>0</v>
      </c>
      <c r="AN35" s="19">
        <f t="shared" si="0"/>
        <v>0</v>
      </c>
      <c r="AO35" s="19">
        <f t="shared" si="0"/>
        <v>23.3</v>
      </c>
      <c r="AP35" s="19">
        <f t="shared" si="0"/>
        <v>7.77</v>
      </c>
      <c r="AQ35" s="19">
        <f t="shared" si="0"/>
        <v>1590.3333333333333</v>
      </c>
      <c r="AR35" s="19">
        <f t="shared" si="0"/>
        <v>3488</v>
      </c>
      <c r="AS35" s="19">
        <f t="shared" si="0"/>
        <v>1950</v>
      </c>
      <c r="AT35" s="19">
        <f t="shared" si="0"/>
        <v>98</v>
      </c>
      <c r="AU35" s="19">
        <f t="shared" si="0"/>
        <v>62.300000000000004</v>
      </c>
      <c r="AV35" s="19">
        <f t="shared" si="0"/>
        <v>134.33333333333334</v>
      </c>
      <c r="AW35" s="19">
        <f t="shared" si="0"/>
        <v>140</v>
      </c>
      <c r="AX35" s="19">
        <f t="shared" si="0"/>
        <v>7.5066666666666668</v>
      </c>
      <c r="AY35" s="19">
        <f t="shared" si="0"/>
        <v>384</v>
      </c>
      <c r="AZ35" s="19">
        <f t="shared" si="0"/>
        <v>1802</v>
      </c>
      <c r="BA35" s="19">
        <f t="shared" si="0"/>
        <v>500</v>
      </c>
      <c r="BB35" s="19">
        <f t="shared" si="0"/>
        <v>165</v>
      </c>
      <c r="BC35" s="19">
        <f t="shared" si="0"/>
        <v>165</v>
      </c>
      <c r="BD35" s="19">
        <f t="shared" si="0"/>
        <v>2.4633333333333334</v>
      </c>
      <c r="BE35" s="19">
        <f t="shared" si="0"/>
        <v>3.8</v>
      </c>
      <c r="BF35" s="19">
        <f t="shared" si="0"/>
        <v>8965</v>
      </c>
      <c r="BG35" s="19">
        <f t="shared" si="0"/>
        <v>5326</v>
      </c>
      <c r="BH35" s="19">
        <f t="shared" si="0"/>
        <v>0.61</v>
      </c>
      <c r="BI35" s="19">
        <f t="shared" si="0"/>
        <v>150</v>
      </c>
      <c r="BJ35" s="19">
        <f t="shared" si="0"/>
        <v>24.166666666666668</v>
      </c>
      <c r="BK35" s="19">
        <f t="shared" si="0"/>
        <v>6.7149999999999999</v>
      </c>
      <c r="BL35" s="19">
        <f t="shared" si="0"/>
        <v>364</v>
      </c>
      <c r="BM35" s="19">
        <f t="shared" si="0"/>
        <v>1801.3333333333333</v>
      </c>
      <c r="BN35" s="19">
        <f t="shared" si="0"/>
        <v>517</v>
      </c>
      <c r="BO35" s="19">
        <f t="shared" si="0"/>
        <v>105</v>
      </c>
      <c r="BP35" s="19">
        <f t="shared" ref="BP35:EA35" si="1">MAX(BP3:BP33)</f>
        <v>197.66666666666666</v>
      </c>
      <c r="BQ35" s="19">
        <f t="shared" si="1"/>
        <v>26</v>
      </c>
      <c r="BR35" s="19">
        <f t="shared" si="1"/>
        <v>6.15</v>
      </c>
      <c r="BS35" s="19">
        <f t="shared" si="1"/>
        <v>9653</v>
      </c>
      <c r="BT35" s="19">
        <f t="shared" si="1"/>
        <v>5862</v>
      </c>
      <c r="BU35" s="19">
        <f t="shared" si="1"/>
        <v>7.59</v>
      </c>
      <c r="BV35" s="19">
        <f t="shared" si="1"/>
        <v>1723.6666666666667</v>
      </c>
      <c r="BW35" s="19">
        <f t="shared" si="1"/>
        <v>494.33333333333331</v>
      </c>
      <c r="BX35" s="19">
        <f t="shared" si="1"/>
        <v>96</v>
      </c>
      <c r="BY35" s="19">
        <f t="shared" si="1"/>
        <v>164.66666666666666</v>
      </c>
      <c r="BZ35" s="19">
        <f t="shared" si="1"/>
        <v>5</v>
      </c>
      <c r="CA35" s="19">
        <f t="shared" si="1"/>
        <v>4852</v>
      </c>
      <c r="CB35" s="19">
        <f t="shared" si="1"/>
        <v>3011</v>
      </c>
      <c r="CC35" s="19">
        <f t="shared" si="1"/>
        <v>7.996666666666667</v>
      </c>
      <c r="CD35" s="19">
        <f t="shared" si="1"/>
        <v>1901</v>
      </c>
      <c r="CE35" s="19">
        <f t="shared" si="1"/>
        <v>489.33333333333331</v>
      </c>
      <c r="CF35" s="19">
        <f t="shared" si="1"/>
        <v>78</v>
      </c>
      <c r="CG35" s="19">
        <f t="shared" si="1"/>
        <v>162.66666666666666</v>
      </c>
      <c r="CH35" s="19">
        <f t="shared" si="1"/>
        <v>5.5</v>
      </c>
      <c r="CI35" s="19">
        <f t="shared" si="1"/>
        <v>4164</v>
      </c>
      <c r="CJ35" s="19">
        <f t="shared" si="1"/>
        <v>2510</v>
      </c>
      <c r="CK35" s="19">
        <f t="shared" si="1"/>
        <v>1.9703333333333333</v>
      </c>
      <c r="CL35" s="19">
        <f t="shared" si="1"/>
        <v>7.8833333333333329</v>
      </c>
      <c r="CM35" s="19">
        <f t="shared" si="1"/>
        <v>162</v>
      </c>
      <c r="CN35" s="19">
        <f t="shared" si="1"/>
        <v>1717.3333333333333</v>
      </c>
      <c r="CO35" s="19">
        <f t="shared" si="1"/>
        <v>498.5</v>
      </c>
      <c r="CP35" s="19">
        <f t="shared" si="1"/>
        <v>48</v>
      </c>
      <c r="CQ35" s="19">
        <f t="shared" si="1"/>
        <v>166.66666666666666</v>
      </c>
      <c r="CR35" s="19">
        <f t="shared" si="1"/>
        <v>35.4</v>
      </c>
      <c r="CS35" s="19">
        <f t="shared" si="1"/>
        <v>170</v>
      </c>
      <c r="CT35" s="19">
        <f t="shared" si="1"/>
        <v>7.8966666666666656</v>
      </c>
      <c r="CU35" s="19">
        <f t="shared" si="1"/>
        <v>1779.3333333333333</v>
      </c>
      <c r="CV35" s="19">
        <f t="shared" si="1"/>
        <v>492.5</v>
      </c>
      <c r="CW35" s="19">
        <f t="shared" si="1"/>
        <v>42</v>
      </c>
      <c r="CX35" s="19">
        <f t="shared" si="1"/>
        <v>132</v>
      </c>
      <c r="CY35" s="19">
        <f t="shared" si="1"/>
        <v>166.66666666666666</v>
      </c>
      <c r="CZ35" s="19">
        <f t="shared" si="1"/>
        <v>34.049999999999997</v>
      </c>
      <c r="DA35" s="19">
        <f t="shared" si="1"/>
        <v>261.64</v>
      </c>
      <c r="DB35" s="19">
        <f t="shared" si="1"/>
        <v>1658.3333333333333</v>
      </c>
      <c r="DC35" s="19">
        <f t="shared" si="1"/>
        <v>490.5</v>
      </c>
      <c r="DD35" s="19">
        <f t="shared" si="1"/>
        <v>166.33333333333334</v>
      </c>
      <c r="DE35" s="19">
        <f t="shared" si="1"/>
        <v>106</v>
      </c>
      <c r="DF35" s="19">
        <f t="shared" si="1"/>
        <v>160</v>
      </c>
      <c r="DG35" s="19">
        <f t="shared" si="1"/>
        <v>40</v>
      </c>
      <c r="DH35" s="19">
        <f t="shared" si="1"/>
        <v>74.55</v>
      </c>
      <c r="DI35" s="19">
        <f t="shared" si="1"/>
        <v>0</v>
      </c>
      <c r="DJ35" s="19">
        <f t="shared" si="1"/>
        <v>0</v>
      </c>
      <c r="DK35" s="19">
        <f t="shared" si="1"/>
        <v>0</v>
      </c>
      <c r="DL35" s="19">
        <f t="shared" si="1"/>
        <v>0</v>
      </c>
      <c r="DM35" s="19">
        <f t="shared" si="1"/>
        <v>0</v>
      </c>
      <c r="DN35" s="19">
        <f t="shared" si="1"/>
        <v>0</v>
      </c>
      <c r="DO35" s="19">
        <f t="shared" si="1"/>
        <v>0</v>
      </c>
      <c r="DP35" s="19">
        <f t="shared" si="1"/>
        <v>0</v>
      </c>
      <c r="DQ35" s="19">
        <f t="shared" si="1"/>
        <v>0</v>
      </c>
      <c r="DR35" s="19">
        <f t="shared" si="1"/>
        <v>0</v>
      </c>
      <c r="DS35" s="19">
        <f t="shared" si="1"/>
        <v>0</v>
      </c>
      <c r="DT35" s="19">
        <f t="shared" si="1"/>
        <v>0</v>
      </c>
      <c r="DU35" s="19">
        <f t="shared" si="1"/>
        <v>0</v>
      </c>
      <c r="DV35" s="19">
        <f t="shared" si="1"/>
        <v>0</v>
      </c>
      <c r="DW35" s="19">
        <f t="shared" si="1"/>
        <v>0</v>
      </c>
      <c r="DX35" s="19">
        <f t="shared" si="1"/>
        <v>7.95</v>
      </c>
      <c r="DY35" s="19">
        <f t="shared" si="1"/>
        <v>1639.6666666666667</v>
      </c>
      <c r="DZ35" s="19">
        <f t="shared" si="1"/>
        <v>466</v>
      </c>
      <c r="EA35" s="19">
        <f t="shared" si="1"/>
        <v>33</v>
      </c>
      <c r="EB35" s="19">
        <f t="shared" ref="EB35:GM35" si="2">MAX(EB3:EB33)</f>
        <v>164</v>
      </c>
      <c r="EC35" s="19">
        <f t="shared" si="2"/>
        <v>130</v>
      </c>
      <c r="ED35" s="19">
        <f t="shared" si="2"/>
        <v>29.9</v>
      </c>
      <c r="EE35" s="19">
        <f t="shared" si="2"/>
        <v>165</v>
      </c>
      <c r="EF35" s="19">
        <f t="shared" si="2"/>
        <v>3015</v>
      </c>
      <c r="EG35" s="19">
        <f t="shared" si="2"/>
        <v>8.1300000000000008</v>
      </c>
      <c r="EH35" s="19">
        <f t="shared" si="2"/>
        <v>1745.6666666666667</v>
      </c>
      <c r="EI35" s="19">
        <f t="shared" si="2"/>
        <v>449</v>
      </c>
      <c r="EJ35" s="19">
        <f t="shared" si="2"/>
        <v>27</v>
      </c>
      <c r="EK35" s="19">
        <f t="shared" si="2"/>
        <v>150</v>
      </c>
      <c r="EL35" s="19">
        <f t="shared" si="2"/>
        <v>10</v>
      </c>
      <c r="EM35" s="19">
        <f t="shared" si="2"/>
        <v>1.5649999999999999</v>
      </c>
      <c r="EN35" s="19">
        <f t="shared" si="2"/>
        <v>153.33333333333334</v>
      </c>
      <c r="EO35" s="19">
        <f t="shared" si="2"/>
        <v>540</v>
      </c>
      <c r="EP35" s="19">
        <f t="shared" si="2"/>
        <v>7.7899999999999991</v>
      </c>
      <c r="EQ35" s="19">
        <f t="shared" si="2"/>
        <v>1666</v>
      </c>
      <c r="ER35" s="19">
        <f t="shared" si="2"/>
        <v>433</v>
      </c>
      <c r="ES35" s="19">
        <f t="shared" si="2"/>
        <v>148.66666666666666</v>
      </c>
      <c r="ET35" s="19">
        <f t="shared" si="2"/>
        <v>8</v>
      </c>
      <c r="EU35" s="19">
        <f t="shared" si="2"/>
        <v>151.66666666666666</v>
      </c>
      <c r="EV35" s="19">
        <f t="shared" si="2"/>
        <v>569.66666666666663</v>
      </c>
      <c r="EW35" s="19">
        <f t="shared" si="2"/>
        <v>6.919999999999999</v>
      </c>
      <c r="EX35" s="19">
        <f t="shared" si="2"/>
        <v>74.239999999999995</v>
      </c>
      <c r="EY35" s="19">
        <f t="shared" si="2"/>
        <v>20</v>
      </c>
      <c r="EZ35" s="19">
        <f t="shared" si="2"/>
        <v>4</v>
      </c>
      <c r="FA35" s="19">
        <f t="shared" si="2"/>
        <v>7</v>
      </c>
      <c r="FB35" s="19">
        <f t="shared" si="2"/>
        <v>2</v>
      </c>
      <c r="FC35" s="19">
        <f t="shared" si="2"/>
        <v>8</v>
      </c>
      <c r="FD35" s="19">
        <f t="shared" si="2"/>
        <v>11.49</v>
      </c>
      <c r="FE35" s="19">
        <f t="shared" si="2"/>
        <v>7.26</v>
      </c>
      <c r="FF35" s="19">
        <f t="shared" si="2"/>
        <v>6268.333333333333</v>
      </c>
      <c r="FG35" s="19">
        <f t="shared" si="2"/>
        <v>1713</v>
      </c>
      <c r="FH35" s="19">
        <f t="shared" si="2"/>
        <v>509</v>
      </c>
      <c r="FI35" s="19">
        <f t="shared" si="2"/>
        <v>18</v>
      </c>
      <c r="FJ35" s="19">
        <f t="shared" si="2"/>
        <v>460.33333333333331</v>
      </c>
      <c r="FK35" s="19">
        <f t="shared" si="2"/>
        <v>9.3533333333333335</v>
      </c>
      <c r="FL35" s="19">
        <f t="shared" si="2"/>
        <v>1840</v>
      </c>
      <c r="FM35" s="19">
        <f t="shared" si="2"/>
        <v>0</v>
      </c>
      <c r="FN35" s="19">
        <f t="shared" si="2"/>
        <v>0</v>
      </c>
      <c r="FO35" s="19">
        <f t="shared" si="2"/>
        <v>0</v>
      </c>
      <c r="FP35" s="19">
        <f t="shared" si="2"/>
        <v>0</v>
      </c>
      <c r="FQ35" s="19">
        <f t="shared" si="2"/>
        <v>0</v>
      </c>
      <c r="FR35" s="19">
        <f t="shared" si="2"/>
        <v>0</v>
      </c>
      <c r="FS35" s="19">
        <f t="shared" si="2"/>
        <v>0</v>
      </c>
      <c r="FT35" s="19">
        <f t="shared" si="2"/>
        <v>0</v>
      </c>
      <c r="FU35" s="19">
        <f t="shared" si="2"/>
        <v>0</v>
      </c>
      <c r="FV35" s="19">
        <f t="shared" si="2"/>
        <v>0</v>
      </c>
      <c r="FW35" s="19">
        <f t="shared" si="2"/>
        <v>0</v>
      </c>
      <c r="FX35" s="19">
        <f t="shared" si="2"/>
        <v>0</v>
      </c>
      <c r="FY35" s="19">
        <f t="shared" si="2"/>
        <v>0</v>
      </c>
      <c r="FZ35" s="19">
        <f t="shared" si="2"/>
        <v>0</v>
      </c>
      <c r="GA35" s="19">
        <f t="shared" si="2"/>
        <v>0</v>
      </c>
      <c r="GB35" s="19">
        <f t="shared" si="2"/>
        <v>0</v>
      </c>
      <c r="GC35" s="19">
        <f t="shared" si="2"/>
        <v>0</v>
      </c>
      <c r="GD35" s="19">
        <f t="shared" si="2"/>
        <v>0</v>
      </c>
      <c r="GE35" s="19">
        <f t="shared" si="2"/>
        <v>0</v>
      </c>
      <c r="GF35" s="19">
        <f t="shared" si="2"/>
        <v>0</v>
      </c>
      <c r="GG35" s="19">
        <f t="shared" si="2"/>
        <v>0</v>
      </c>
      <c r="GH35" s="19">
        <f t="shared" si="2"/>
        <v>0</v>
      </c>
      <c r="GI35" s="19">
        <f t="shared" si="2"/>
        <v>0</v>
      </c>
      <c r="GJ35" s="19">
        <f t="shared" si="2"/>
        <v>0</v>
      </c>
      <c r="GK35" s="19">
        <f t="shared" si="2"/>
        <v>0</v>
      </c>
      <c r="GL35" s="19">
        <f t="shared" si="2"/>
        <v>0</v>
      </c>
      <c r="GM35" s="19">
        <f t="shared" si="2"/>
        <v>0</v>
      </c>
      <c r="GN35" s="19">
        <f t="shared" ref="GN35:IY35" si="3">MAX(GN3:GN33)</f>
        <v>0</v>
      </c>
      <c r="GO35" s="19">
        <f t="shared" si="3"/>
        <v>0</v>
      </c>
      <c r="GP35" s="19">
        <f t="shared" si="3"/>
        <v>0</v>
      </c>
      <c r="GQ35" s="19">
        <f t="shared" si="3"/>
        <v>0</v>
      </c>
      <c r="GR35" s="19">
        <f t="shared" si="3"/>
        <v>0</v>
      </c>
      <c r="GS35" s="19">
        <f t="shared" si="3"/>
        <v>0</v>
      </c>
      <c r="GT35" s="19">
        <f t="shared" si="3"/>
        <v>0</v>
      </c>
      <c r="GU35" s="19">
        <f t="shared" si="3"/>
        <v>0</v>
      </c>
      <c r="GV35" s="19">
        <f t="shared" si="3"/>
        <v>0</v>
      </c>
      <c r="GW35" s="19">
        <f t="shared" si="3"/>
        <v>0</v>
      </c>
      <c r="GX35" s="19">
        <f t="shared" si="3"/>
        <v>0</v>
      </c>
      <c r="GY35" s="19">
        <f t="shared" si="3"/>
        <v>0</v>
      </c>
      <c r="GZ35" s="19">
        <f t="shared" si="3"/>
        <v>0</v>
      </c>
      <c r="HA35" s="19">
        <f t="shared" si="3"/>
        <v>0</v>
      </c>
      <c r="HB35" s="19">
        <f t="shared" si="3"/>
        <v>7.5749999999999993</v>
      </c>
      <c r="HC35" s="19">
        <f t="shared" si="3"/>
        <v>5709.5</v>
      </c>
      <c r="HD35" s="19">
        <f t="shared" si="3"/>
        <v>1503</v>
      </c>
      <c r="HE35" s="19">
        <f t="shared" si="3"/>
        <v>556.5</v>
      </c>
      <c r="HF35" s="19">
        <f t="shared" si="3"/>
        <v>22</v>
      </c>
      <c r="HG35" s="19">
        <f t="shared" si="3"/>
        <v>480</v>
      </c>
      <c r="HH35" s="19">
        <f t="shared" si="3"/>
        <v>2033</v>
      </c>
      <c r="HI35" s="19">
        <f t="shared" si="3"/>
        <v>7.6550000000000002</v>
      </c>
      <c r="HJ35" s="19">
        <f t="shared" si="3"/>
        <v>1845.5</v>
      </c>
      <c r="HK35" s="19">
        <f t="shared" si="3"/>
        <v>289</v>
      </c>
      <c r="HL35" s="19">
        <f t="shared" si="3"/>
        <v>2</v>
      </c>
      <c r="HM35" s="19">
        <f t="shared" si="3"/>
        <v>139</v>
      </c>
      <c r="HN35" s="19">
        <f t="shared" si="3"/>
        <v>2</v>
      </c>
      <c r="HO35" s="19">
        <f t="shared" si="3"/>
        <v>69</v>
      </c>
      <c r="HP35" s="19">
        <f t="shared" si="3"/>
        <v>455</v>
      </c>
      <c r="HQ35" s="19">
        <f t="shared" si="3"/>
        <v>7.41</v>
      </c>
      <c r="HR35" s="19">
        <f t="shared" si="3"/>
        <v>9701</v>
      </c>
      <c r="HS35" s="19">
        <f t="shared" si="3"/>
        <v>2436.5</v>
      </c>
      <c r="HT35" s="19">
        <f t="shared" si="3"/>
        <v>864</v>
      </c>
      <c r="HU35" s="19">
        <f t="shared" si="3"/>
        <v>36</v>
      </c>
      <c r="HV35" s="19">
        <f t="shared" si="3"/>
        <v>1295</v>
      </c>
      <c r="HW35" s="19">
        <f t="shared" si="3"/>
        <v>0</v>
      </c>
      <c r="HX35" s="19">
        <f t="shared" si="3"/>
        <v>1574</v>
      </c>
      <c r="HY35" s="19">
        <f t="shared" si="3"/>
        <v>7.17</v>
      </c>
      <c r="HZ35" s="19">
        <f t="shared" si="3"/>
        <v>5645.666666666667</v>
      </c>
      <c r="IA35" s="19">
        <f t="shared" si="3"/>
        <v>1672</v>
      </c>
      <c r="IB35" s="19">
        <f t="shared" si="3"/>
        <v>502</v>
      </c>
      <c r="IC35" s="19">
        <f t="shared" si="3"/>
        <v>18</v>
      </c>
      <c r="ID35" s="19">
        <f t="shared" si="3"/>
        <v>427</v>
      </c>
      <c r="IE35" s="19">
        <f t="shared" si="3"/>
        <v>1328.6666666666667</v>
      </c>
      <c r="IF35" s="19">
        <f t="shared" si="3"/>
        <v>8.6033333333333335</v>
      </c>
      <c r="IG35" s="19">
        <f t="shared" si="3"/>
        <v>1448</v>
      </c>
      <c r="IH35" s="19">
        <f t="shared" si="3"/>
        <v>228</v>
      </c>
      <c r="II35" s="19">
        <f t="shared" si="3"/>
        <v>2</v>
      </c>
      <c r="IJ35" s="19">
        <f t="shared" si="3"/>
        <v>93</v>
      </c>
      <c r="IK35" s="19">
        <f t="shared" si="3"/>
        <v>2</v>
      </c>
      <c r="IL35" s="19">
        <f t="shared" si="3"/>
        <v>320</v>
      </c>
      <c r="IM35" s="19">
        <f t="shared" si="3"/>
        <v>562</v>
      </c>
      <c r="IN35" s="19">
        <f t="shared" si="3"/>
        <v>7.8599999999999994</v>
      </c>
      <c r="IO35" s="19">
        <f t="shared" si="3"/>
        <v>12090</v>
      </c>
      <c r="IP35" s="19">
        <f t="shared" si="3"/>
        <v>2244</v>
      </c>
      <c r="IQ35" s="19">
        <f t="shared" si="3"/>
        <v>844</v>
      </c>
      <c r="IR35" s="19">
        <f t="shared" si="3"/>
        <v>34</v>
      </c>
      <c r="IS35" s="19">
        <f t="shared" si="3"/>
        <v>844</v>
      </c>
      <c r="IT35" s="19">
        <f t="shared" si="3"/>
        <v>1511.3333333333333</v>
      </c>
      <c r="IU35" s="19">
        <f t="shared" si="3"/>
        <v>8.0966666666666658</v>
      </c>
      <c r="IV35" s="19">
        <f t="shared" si="3"/>
        <v>1613.3333333333333</v>
      </c>
      <c r="IW35" s="19">
        <f t="shared" si="3"/>
        <v>456</v>
      </c>
      <c r="IX35" s="19">
        <f t="shared" si="3"/>
        <v>147.33333333333334</v>
      </c>
      <c r="IY35" s="19">
        <f t="shared" si="3"/>
        <v>36</v>
      </c>
      <c r="IZ35" s="19">
        <f t="shared" ref="IZ35:KB35" si="4">MAX(IZ3:IZ33)</f>
        <v>12</v>
      </c>
      <c r="JA35" s="19">
        <f t="shared" si="4"/>
        <v>2.2450000000000001</v>
      </c>
      <c r="JB35" s="19">
        <f t="shared" si="4"/>
        <v>156.66666666666666</v>
      </c>
      <c r="JC35" s="19">
        <f t="shared" si="4"/>
        <v>7.48</v>
      </c>
      <c r="JD35" s="19">
        <f t="shared" si="4"/>
        <v>93.05</v>
      </c>
      <c r="JE35" s="19">
        <f t="shared" si="4"/>
        <v>29.666666666666668</v>
      </c>
      <c r="JF35" s="19">
        <f t="shared" si="4"/>
        <v>2</v>
      </c>
      <c r="JG35" s="19">
        <f t="shared" si="4"/>
        <v>7.666666666666667</v>
      </c>
      <c r="JH35" s="19">
        <f t="shared" si="4"/>
        <v>12</v>
      </c>
      <c r="JI35" s="19">
        <f t="shared" si="4"/>
        <v>88.77</v>
      </c>
      <c r="JJ35" s="19">
        <f t="shared" si="4"/>
        <v>8.08</v>
      </c>
      <c r="JK35" s="19">
        <f t="shared" si="4"/>
        <v>2418</v>
      </c>
      <c r="JL35" s="19">
        <f t="shared" si="4"/>
        <v>775</v>
      </c>
      <c r="JM35" s="19">
        <f t="shared" si="4"/>
        <v>157</v>
      </c>
      <c r="JN35" s="19">
        <f t="shared" si="4"/>
        <v>34</v>
      </c>
      <c r="JO35" s="19">
        <f t="shared" si="4"/>
        <v>82.21</v>
      </c>
      <c r="JP35" s="19">
        <f t="shared" si="4"/>
        <v>0</v>
      </c>
      <c r="JQ35" s="19">
        <f t="shared" si="4"/>
        <v>0</v>
      </c>
      <c r="JR35" s="19">
        <f t="shared" si="4"/>
        <v>0</v>
      </c>
      <c r="JS35" s="19">
        <f t="shared" si="4"/>
        <v>0</v>
      </c>
      <c r="JT35" s="19">
        <f t="shared" si="4"/>
        <v>0</v>
      </c>
      <c r="JU35" s="19">
        <f t="shared" si="4"/>
        <v>0</v>
      </c>
      <c r="JV35" s="19">
        <f t="shared" si="4"/>
        <v>0</v>
      </c>
      <c r="JW35" s="19">
        <f t="shared" si="4"/>
        <v>0</v>
      </c>
      <c r="JX35" s="19">
        <f t="shared" si="4"/>
        <v>0</v>
      </c>
      <c r="JY35" s="19">
        <f t="shared" si="4"/>
        <v>0</v>
      </c>
      <c r="JZ35" s="19">
        <f t="shared" si="4"/>
        <v>0</v>
      </c>
      <c r="KA35" s="19">
        <f t="shared" si="4"/>
        <v>0</v>
      </c>
      <c r="KB35" s="19">
        <f t="shared" si="4"/>
        <v>0</v>
      </c>
    </row>
    <row r="36" spans="1:288">
      <c r="A36" s="18" t="s">
        <v>83</v>
      </c>
      <c r="C36" s="19">
        <f>MIN(C3:C33)</f>
        <v>3.5</v>
      </c>
      <c r="D36" s="19">
        <f>MIN(D3:D33)</f>
        <v>7.52</v>
      </c>
      <c r="E36" s="19">
        <f>MIN(E3:E33)</f>
        <v>22.7</v>
      </c>
      <c r="F36" s="42">
        <f t="shared" ref="F36:BQ36" si="5">MIN(F3:F33)</f>
        <v>720.66666666666663</v>
      </c>
      <c r="G36" s="42">
        <f t="shared" si="5"/>
        <v>2665</v>
      </c>
      <c r="H36" s="42">
        <f t="shared" si="5"/>
        <v>2400</v>
      </c>
      <c r="I36" s="42">
        <f t="shared" si="5"/>
        <v>38</v>
      </c>
      <c r="J36" s="42">
        <f t="shared" si="5"/>
        <v>21.900000000000002</v>
      </c>
      <c r="K36" s="42">
        <f t="shared" si="5"/>
        <v>98</v>
      </c>
      <c r="L36" s="19">
        <f t="shared" si="5"/>
        <v>0</v>
      </c>
      <c r="M36" s="19">
        <f t="shared" si="5"/>
        <v>0</v>
      </c>
      <c r="N36" s="19">
        <f t="shared" si="5"/>
        <v>0</v>
      </c>
      <c r="O36" s="19">
        <f t="shared" si="5"/>
        <v>0</v>
      </c>
      <c r="P36" s="19">
        <f t="shared" si="5"/>
        <v>0</v>
      </c>
      <c r="Q36" s="19">
        <f t="shared" si="5"/>
        <v>0</v>
      </c>
      <c r="R36" s="19">
        <f t="shared" si="5"/>
        <v>0</v>
      </c>
      <c r="S36" s="19">
        <f t="shared" si="5"/>
        <v>0</v>
      </c>
      <c r="T36" s="19">
        <f t="shared" si="5"/>
        <v>0</v>
      </c>
      <c r="U36" s="19">
        <f t="shared" si="5"/>
        <v>0</v>
      </c>
      <c r="V36" s="19">
        <f t="shared" si="5"/>
        <v>0</v>
      </c>
      <c r="W36" s="19">
        <f t="shared" si="5"/>
        <v>0</v>
      </c>
      <c r="X36" s="19">
        <f t="shared" si="5"/>
        <v>0</v>
      </c>
      <c r="Y36" s="42">
        <f t="shared" si="5"/>
        <v>16</v>
      </c>
      <c r="Z36" s="42">
        <f t="shared" si="5"/>
        <v>4</v>
      </c>
      <c r="AA36" s="42">
        <f t="shared" si="5"/>
        <v>1745</v>
      </c>
      <c r="AB36" s="19">
        <f t="shared" si="5"/>
        <v>0</v>
      </c>
      <c r="AC36" s="19">
        <f t="shared" si="5"/>
        <v>0</v>
      </c>
      <c r="AD36" s="19">
        <f t="shared" si="5"/>
        <v>0</v>
      </c>
      <c r="AE36" s="19">
        <f t="shared" si="5"/>
        <v>0</v>
      </c>
      <c r="AF36" s="19">
        <f t="shared" si="5"/>
        <v>0</v>
      </c>
      <c r="AG36" s="19">
        <f t="shared" si="5"/>
        <v>0</v>
      </c>
      <c r="AH36" s="19">
        <f t="shared" si="5"/>
        <v>0</v>
      </c>
      <c r="AI36" s="19">
        <f t="shared" si="5"/>
        <v>0</v>
      </c>
      <c r="AJ36" s="19">
        <f t="shared" si="5"/>
        <v>0</v>
      </c>
      <c r="AK36" s="19">
        <f t="shared" si="5"/>
        <v>0</v>
      </c>
      <c r="AL36" s="19">
        <f t="shared" si="5"/>
        <v>0</v>
      </c>
      <c r="AM36" s="19">
        <f t="shared" si="5"/>
        <v>0</v>
      </c>
      <c r="AN36" s="19">
        <f t="shared" si="5"/>
        <v>0</v>
      </c>
      <c r="AO36" s="19">
        <f t="shared" si="5"/>
        <v>22.700000000000003</v>
      </c>
      <c r="AP36" s="19">
        <f t="shared" si="5"/>
        <v>6.48</v>
      </c>
      <c r="AQ36" s="19">
        <f t="shared" si="5"/>
        <v>1005</v>
      </c>
      <c r="AR36" s="19">
        <f t="shared" si="5"/>
        <v>2604</v>
      </c>
      <c r="AS36" s="19">
        <f t="shared" si="5"/>
        <v>1950</v>
      </c>
      <c r="AT36" s="19">
        <f t="shared" si="5"/>
        <v>26</v>
      </c>
      <c r="AU36" s="19">
        <f t="shared" si="5"/>
        <v>28</v>
      </c>
      <c r="AV36" s="19">
        <f t="shared" si="5"/>
        <v>97.333333333333329</v>
      </c>
      <c r="AW36" s="19">
        <f t="shared" si="5"/>
        <v>45</v>
      </c>
      <c r="AX36" s="19">
        <f t="shared" si="5"/>
        <v>6.456666666666667</v>
      </c>
      <c r="AY36" s="19">
        <f t="shared" si="5"/>
        <v>208</v>
      </c>
      <c r="AZ36" s="19">
        <f t="shared" si="5"/>
        <v>1385</v>
      </c>
      <c r="BA36" s="19">
        <f t="shared" si="5"/>
        <v>399.33333333333331</v>
      </c>
      <c r="BB36" s="19">
        <f t="shared" si="5"/>
        <v>135</v>
      </c>
      <c r="BC36" s="19">
        <f t="shared" si="5"/>
        <v>123.33333333333333</v>
      </c>
      <c r="BD36" s="19">
        <f t="shared" si="5"/>
        <v>1.9533333333333334</v>
      </c>
      <c r="BE36" s="19">
        <f t="shared" si="5"/>
        <v>2.4</v>
      </c>
      <c r="BF36" s="19">
        <f t="shared" si="5"/>
        <v>2498</v>
      </c>
      <c r="BG36" s="19">
        <f t="shared" si="5"/>
        <v>1514</v>
      </c>
      <c r="BH36" s="19">
        <f t="shared" si="5"/>
        <v>0.55000000000000004</v>
      </c>
      <c r="BI36" s="19">
        <f t="shared" si="5"/>
        <v>80</v>
      </c>
      <c r="BJ36" s="19">
        <f t="shared" si="5"/>
        <v>22.9</v>
      </c>
      <c r="BK36" s="19">
        <f t="shared" si="5"/>
        <v>6.166666666666667</v>
      </c>
      <c r="BL36" s="19">
        <f t="shared" si="5"/>
        <v>187</v>
      </c>
      <c r="BM36" s="19">
        <f t="shared" si="5"/>
        <v>1371.5</v>
      </c>
      <c r="BN36" s="19">
        <f t="shared" si="5"/>
        <v>400.66666666666669</v>
      </c>
      <c r="BO36" s="19">
        <f t="shared" si="5"/>
        <v>105</v>
      </c>
      <c r="BP36" s="19">
        <f t="shared" si="5"/>
        <v>118.66666666666667</v>
      </c>
      <c r="BQ36" s="19">
        <f t="shared" si="5"/>
        <v>6</v>
      </c>
      <c r="BR36" s="19">
        <f t="shared" ref="BR36:EC36" si="6">MIN(BR3:BR33)</f>
        <v>3.1</v>
      </c>
      <c r="BS36" s="19">
        <f t="shared" si="6"/>
        <v>4885</v>
      </c>
      <c r="BT36" s="19">
        <f t="shared" si="6"/>
        <v>2935</v>
      </c>
      <c r="BU36" s="19">
        <f t="shared" si="6"/>
        <v>6.753333333333333</v>
      </c>
      <c r="BV36" s="19">
        <f t="shared" si="6"/>
        <v>1379</v>
      </c>
      <c r="BW36" s="19">
        <f t="shared" si="6"/>
        <v>394</v>
      </c>
      <c r="BX36" s="19">
        <f t="shared" si="6"/>
        <v>78</v>
      </c>
      <c r="BY36" s="19">
        <f t="shared" si="6"/>
        <v>115.33333333333333</v>
      </c>
      <c r="BZ36" s="19">
        <f t="shared" si="6"/>
        <v>3.8</v>
      </c>
      <c r="CA36" s="19">
        <f t="shared" si="6"/>
        <v>2658</v>
      </c>
      <c r="CB36" s="19">
        <f t="shared" si="6"/>
        <v>1415</v>
      </c>
      <c r="CC36" s="19">
        <f t="shared" si="6"/>
        <v>7.1266666666666678</v>
      </c>
      <c r="CD36" s="19">
        <f t="shared" si="6"/>
        <v>1404.6666666666667</v>
      </c>
      <c r="CE36" s="19">
        <f t="shared" si="6"/>
        <v>387.33333333333331</v>
      </c>
      <c r="CF36" s="19">
        <f t="shared" si="6"/>
        <v>60</v>
      </c>
      <c r="CG36" s="19">
        <f t="shared" si="6"/>
        <v>113.66666666666667</v>
      </c>
      <c r="CH36" s="19">
        <f t="shared" si="6"/>
        <v>4.2</v>
      </c>
      <c r="CI36" s="19">
        <f t="shared" si="6"/>
        <v>2365</v>
      </c>
      <c r="CJ36" s="19">
        <f t="shared" si="6"/>
        <v>1423</v>
      </c>
      <c r="CK36" s="19">
        <f t="shared" si="6"/>
        <v>1</v>
      </c>
      <c r="CL36" s="19">
        <f t="shared" si="6"/>
        <v>7.4633333333333338</v>
      </c>
      <c r="CM36" s="19">
        <f t="shared" si="6"/>
        <v>38</v>
      </c>
      <c r="CN36" s="19">
        <f t="shared" si="6"/>
        <v>1320</v>
      </c>
      <c r="CO36" s="19">
        <f t="shared" si="6"/>
        <v>396.66666666666669</v>
      </c>
      <c r="CP36" s="19">
        <f t="shared" si="6"/>
        <v>48</v>
      </c>
      <c r="CQ36" s="19">
        <f t="shared" si="6"/>
        <v>117.33333333333333</v>
      </c>
      <c r="CR36" s="19">
        <f t="shared" si="6"/>
        <v>5.0333333333333341</v>
      </c>
      <c r="CS36" s="19">
        <f t="shared" si="6"/>
        <v>75</v>
      </c>
      <c r="CT36" s="19">
        <f t="shared" si="6"/>
        <v>7.5200000000000005</v>
      </c>
      <c r="CU36" s="19">
        <f t="shared" si="6"/>
        <v>1341.5</v>
      </c>
      <c r="CV36" s="19">
        <f t="shared" si="6"/>
        <v>392.66666666666669</v>
      </c>
      <c r="CW36" s="19">
        <f t="shared" si="6"/>
        <v>39</v>
      </c>
      <c r="CX36" s="19">
        <f t="shared" si="6"/>
        <v>40</v>
      </c>
      <c r="CY36" s="19">
        <f t="shared" si="6"/>
        <v>115.33333333333333</v>
      </c>
      <c r="CZ36" s="19">
        <f t="shared" si="6"/>
        <v>4.7666666666666666</v>
      </c>
      <c r="DA36" s="19">
        <f t="shared" si="6"/>
        <v>7.73</v>
      </c>
      <c r="DB36" s="19">
        <f t="shared" si="6"/>
        <v>1364</v>
      </c>
      <c r="DC36" s="19">
        <f t="shared" si="6"/>
        <v>392.66666666666669</v>
      </c>
      <c r="DD36" s="19">
        <f t="shared" si="6"/>
        <v>117</v>
      </c>
      <c r="DE36" s="19">
        <f t="shared" si="6"/>
        <v>24</v>
      </c>
      <c r="DF36" s="19">
        <f t="shared" si="6"/>
        <v>88</v>
      </c>
      <c r="DG36" s="19">
        <f t="shared" si="6"/>
        <v>39</v>
      </c>
      <c r="DH36" s="19">
        <f t="shared" si="6"/>
        <v>7.5333333333333341</v>
      </c>
      <c r="DI36" s="19">
        <f t="shared" si="6"/>
        <v>0</v>
      </c>
      <c r="DJ36" s="19">
        <f t="shared" si="6"/>
        <v>0</v>
      </c>
      <c r="DK36" s="19">
        <f t="shared" si="6"/>
        <v>0</v>
      </c>
      <c r="DL36" s="19">
        <f t="shared" si="6"/>
        <v>0</v>
      </c>
      <c r="DM36" s="19">
        <f t="shared" si="6"/>
        <v>0</v>
      </c>
      <c r="DN36" s="19">
        <f t="shared" si="6"/>
        <v>0</v>
      </c>
      <c r="DO36" s="19">
        <f t="shared" si="6"/>
        <v>0</v>
      </c>
      <c r="DP36" s="19">
        <f t="shared" si="6"/>
        <v>0</v>
      </c>
      <c r="DQ36" s="19">
        <f t="shared" si="6"/>
        <v>0</v>
      </c>
      <c r="DR36" s="19">
        <f t="shared" si="6"/>
        <v>0</v>
      </c>
      <c r="DS36" s="19">
        <f t="shared" si="6"/>
        <v>0</v>
      </c>
      <c r="DT36" s="19">
        <f t="shared" si="6"/>
        <v>0</v>
      </c>
      <c r="DU36" s="19">
        <f t="shared" si="6"/>
        <v>0</v>
      </c>
      <c r="DV36" s="19">
        <f t="shared" si="6"/>
        <v>0</v>
      </c>
      <c r="DW36" s="19">
        <f t="shared" si="6"/>
        <v>0</v>
      </c>
      <c r="DX36" s="19">
        <f t="shared" si="6"/>
        <v>7.5250000000000004</v>
      </c>
      <c r="DY36" s="19">
        <f t="shared" si="6"/>
        <v>1380</v>
      </c>
      <c r="DZ36" s="19">
        <f t="shared" si="6"/>
        <v>392.66666666666669</v>
      </c>
      <c r="EA36" s="19">
        <f t="shared" si="6"/>
        <v>24</v>
      </c>
      <c r="EB36" s="19">
        <f t="shared" si="6"/>
        <v>118</v>
      </c>
      <c r="EC36" s="19">
        <f t="shared" si="6"/>
        <v>39</v>
      </c>
      <c r="ED36" s="19">
        <f t="shared" ref="ED36:GO36" si="7">MIN(ED3:ED33)</f>
        <v>8.2000000000000011</v>
      </c>
      <c r="EE36" s="19">
        <f t="shared" si="7"/>
        <v>115</v>
      </c>
      <c r="EF36" s="19">
        <f t="shared" si="7"/>
        <v>917.66666666666663</v>
      </c>
      <c r="EG36" s="19">
        <f t="shared" si="7"/>
        <v>5.41</v>
      </c>
      <c r="EH36" s="19">
        <f t="shared" si="7"/>
        <v>1395</v>
      </c>
      <c r="EI36" s="19">
        <f t="shared" si="7"/>
        <v>372.66666666666669</v>
      </c>
      <c r="EJ36" s="19">
        <f t="shared" si="7"/>
        <v>27</v>
      </c>
      <c r="EK36" s="19">
        <f t="shared" si="7"/>
        <v>111.33333333333333</v>
      </c>
      <c r="EL36" s="19">
        <f t="shared" si="7"/>
        <v>3</v>
      </c>
      <c r="EM36" s="19">
        <f t="shared" si="7"/>
        <v>0.65</v>
      </c>
      <c r="EN36" s="19">
        <f t="shared" si="7"/>
        <v>100</v>
      </c>
      <c r="EO36" s="19">
        <f t="shared" si="7"/>
        <v>298</v>
      </c>
      <c r="EP36" s="19">
        <f t="shared" si="7"/>
        <v>4.88</v>
      </c>
      <c r="EQ36" s="19">
        <f t="shared" si="7"/>
        <v>1369</v>
      </c>
      <c r="ER36" s="19">
        <f t="shared" si="7"/>
        <v>366.66666666666669</v>
      </c>
      <c r="ES36" s="19">
        <f t="shared" si="7"/>
        <v>109</v>
      </c>
      <c r="ET36" s="19">
        <f t="shared" si="7"/>
        <v>2</v>
      </c>
      <c r="EU36" s="19">
        <f t="shared" si="7"/>
        <v>80</v>
      </c>
      <c r="EV36" s="19">
        <f t="shared" si="7"/>
        <v>30</v>
      </c>
      <c r="EW36" s="19">
        <f t="shared" si="7"/>
        <v>4.21</v>
      </c>
      <c r="EX36" s="19">
        <f t="shared" si="7"/>
        <v>62.986666666666657</v>
      </c>
      <c r="EY36" s="19">
        <f t="shared" si="7"/>
        <v>4</v>
      </c>
      <c r="EZ36" s="19">
        <f t="shared" si="7"/>
        <v>2</v>
      </c>
      <c r="FA36" s="19">
        <f t="shared" si="7"/>
        <v>4.333333333333333</v>
      </c>
      <c r="FB36" s="19">
        <f t="shared" si="7"/>
        <v>2</v>
      </c>
      <c r="FC36" s="19">
        <f t="shared" si="7"/>
        <v>4</v>
      </c>
      <c r="FD36" s="19">
        <f t="shared" si="7"/>
        <v>6.3846666666666669</v>
      </c>
      <c r="FE36" s="19">
        <f t="shared" si="7"/>
        <v>5.17</v>
      </c>
      <c r="FF36" s="19">
        <f t="shared" si="7"/>
        <v>4236</v>
      </c>
      <c r="FG36" s="19">
        <f t="shared" si="7"/>
        <v>1280.6666666666667</v>
      </c>
      <c r="FH36" s="19">
        <f t="shared" si="7"/>
        <v>174</v>
      </c>
      <c r="FI36" s="19">
        <f t="shared" si="7"/>
        <v>8</v>
      </c>
      <c r="FJ36" s="19">
        <f t="shared" si="7"/>
        <v>250</v>
      </c>
      <c r="FK36" s="19">
        <f t="shared" si="7"/>
        <v>0.85666666666666658</v>
      </c>
      <c r="FL36" s="19">
        <f t="shared" si="7"/>
        <v>562.66666666666663</v>
      </c>
      <c r="FM36" s="19">
        <f t="shared" si="7"/>
        <v>0</v>
      </c>
      <c r="FN36" s="19">
        <f t="shared" si="7"/>
        <v>0</v>
      </c>
      <c r="FO36" s="19">
        <f t="shared" si="7"/>
        <v>0</v>
      </c>
      <c r="FP36" s="19">
        <f t="shared" si="7"/>
        <v>0</v>
      </c>
      <c r="FQ36" s="19">
        <f t="shared" si="7"/>
        <v>0</v>
      </c>
      <c r="FR36" s="19">
        <f t="shared" si="7"/>
        <v>0</v>
      </c>
      <c r="FS36" s="19">
        <f t="shared" si="7"/>
        <v>0</v>
      </c>
      <c r="FT36" s="19">
        <f t="shared" si="7"/>
        <v>0</v>
      </c>
      <c r="FU36" s="19">
        <f t="shared" si="7"/>
        <v>0</v>
      </c>
      <c r="FV36" s="19">
        <f t="shared" si="7"/>
        <v>0</v>
      </c>
      <c r="FW36" s="19">
        <f t="shared" si="7"/>
        <v>0</v>
      </c>
      <c r="FX36" s="19">
        <f t="shared" si="7"/>
        <v>0</v>
      </c>
      <c r="FY36" s="19">
        <f t="shared" si="7"/>
        <v>0</v>
      </c>
      <c r="FZ36" s="19">
        <f t="shared" si="7"/>
        <v>0</v>
      </c>
      <c r="GA36" s="19">
        <f t="shared" si="7"/>
        <v>0</v>
      </c>
      <c r="GB36" s="19">
        <f t="shared" si="7"/>
        <v>0</v>
      </c>
      <c r="GC36" s="19">
        <f t="shared" si="7"/>
        <v>0</v>
      </c>
      <c r="GD36" s="19">
        <f t="shared" si="7"/>
        <v>0</v>
      </c>
      <c r="GE36" s="19">
        <f t="shared" si="7"/>
        <v>0</v>
      </c>
      <c r="GF36" s="19">
        <f t="shared" si="7"/>
        <v>0</v>
      </c>
      <c r="GG36" s="19">
        <f t="shared" si="7"/>
        <v>0</v>
      </c>
      <c r="GH36" s="19">
        <f t="shared" si="7"/>
        <v>0</v>
      </c>
      <c r="GI36" s="19">
        <f t="shared" si="7"/>
        <v>0</v>
      </c>
      <c r="GJ36" s="19">
        <f t="shared" si="7"/>
        <v>0</v>
      </c>
      <c r="GK36" s="19">
        <f t="shared" si="7"/>
        <v>0</v>
      </c>
      <c r="GL36" s="19">
        <f t="shared" si="7"/>
        <v>0</v>
      </c>
      <c r="GM36" s="19">
        <f t="shared" si="7"/>
        <v>0</v>
      </c>
      <c r="GN36" s="19">
        <f t="shared" si="7"/>
        <v>0</v>
      </c>
      <c r="GO36" s="19">
        <f t="shared" si="7"/>
        <v>0</v>
      </c>
      <c r="GP36" s="19">
        <f t="shared" ref="GP36:JA36" si="8">MIN(GP3:GP33)</f>
        <v>0</v>
      </c>
      <c r="GQ36" s="19">
        <f t="shared" si="8"/>
        <v>0</v>
      </c>
      <c r="GR36" s="19">
        <f t="shared" si="8"/>
        <v>0</v>
      </c>
      <c r="GS36" s="19">
        <f t="shared" si="8"/>
        <v>0</v>
      </c>
      <c r="GT36" s="19">
        <f t="shared" si="8"/>
        <v>0</v>
      </c>
      <c r="GU36" s="19">
        <f t="shared" si="8"/>
        <v>0</v>
      </c>
      <c r="GV36" s="19">
        <f t="shared" si="8"/>
        <v>0</v>
      </c>
      <c r="GW36" s="19">
        <f t="shared" si="8"/>
        <v>0</v>
      </c>
      <c r="GX36" s="19">
        <f t="shared" si="8"/>
        <v>0</v>
      </c>
      <c r="GY36" s="19">
        <f t="shared" si="8"/>
        <v>0</v>
      </c>
      <c r="GZ36" s="19">
        <f t="shared" si="8"/>
        <v>0</v>
      </c>
      <c r="HA36" s="19">
        <f t="shared" si="8"/>
        <v>0</v>
      </c>
      <c r="HB36" s="19">
        <f t="shared" si="8"/>
        <v>7.4649999999999999</v>
      </c>
      <c r="HC36" s="19">
        <f t="shared" si="8"/>
        <v>5021.5</v>
      </c>
      <c r="HD36" s="19">
        <f t="shared" si="8"/>
        <v>1186.5</v>
      </c>
      <c r="HE36" s="19">
        <f t="shared" si="8"/>
        <v>396</v>
      </c>
      <c r="HF36" s="19">
        <f t="shared" si="8"/>
        <v>22</v>
      </c>
      <c r="HG36" s="19">
        <f t="shared" si="8"/>
        <v>375.5</v>
      </c>
      <c r="HH36" s="19">
        <f t="shared" si="8"/>
        <v>527</v>
      </c>
      <c r="HI36" s="19">
        <f t="shared" si="8"/>
        <v>7.0350000000000001</v>
      </c>
      <c r="HJ36" s="19">
        <f t="shared" si="8"/>
        <v>1464</v>
      </c>
      <c r="HK36" s="19">
        <f t="shared" si="8"/>
        <v>124</v>
      </c>
      <c r="HL36" s="19">
        <f t="shared" si="8"/>
        <v>2</v>
      </c>
      <c r="HM36" s="19">
        <f t="shared" si="8"/>
        <v>44.5</v>
      </c>
      <c r="HN36" s="19">
        <f t="shared" si="8"/>
        <v>2</v>
      </c>
      <c r="HO36" s="19">
        <f t="shared" si="8"/>
        <v>42</v>
      </c>
      <c r="HP36" s="19">
        <f t="shared" si="8"/>
        <v>142</v>
      </c>
      <c r="HQ36" s="19">
        <f t="shared" si="8"/>
        <v>6.9450000000000003</v>
      </c>
      <c r="HR36" s="19">
        <f t="shared" si="8"/>
        <v>9449.5</v>
      </c>
      <c r="HS36" s="19">
        <f t="shared" si="8"/>
        <v>1591.5</v>
      </c>
      <c r="HT36" s="19">
        <f t="shared" si="8"/>
        <v>602</v>
      </c>
      <c r="HU36" s="19">
        <f t="shared" si="8"/>
        <v>24</v>
      </c>
      <c r="HV36" s="19">
        <f t="shared" si="8"/>
        <v>570.5</v>
      </c>
      <c r="HW36" s="19">
        <f t="shared" si="8"/>
        <v>0</v>
      </c>
      <c r="HX36" s="19">
        <f t="shared" si="8"/>
        <v>885</v>
      </c>
      <c r="HY36" s="19">
        <f t="shared" si="8"/>
        <v>5.64</v>
      </c>
      <c r="HZ36" s="19">
        <f t="shared" si="8"/>
        <v>4263</v>
      </c>
      <c r="IA36" s="19">
        <f t="shared" si="8"/>
        <v>1128</v>
      </c>
      <c r="IB36" s="19">
        <f t="shared" si="8"/>
        <v>167</v>
      </c>
      <c r="IC36" s="19">
        <f t="shared" si="8"/>
        <v>2</v>
      </c>
      <c r="ID36" s="19">
        <f t="shared" si="8"/>
        <v>265</v>
      </c>
      <c r="IE36" s="19">
        <f t="shared" si="8"/>
        <v>526</v>
      </c>
      <c r="IF36" s="19">
        <f t="shared" si="8"/>
        <v>5.44</v>
      </c>
      <c r="IG36" s="19">
        <f t="shared" si="8"/>
        <v>495.56666666666666</v>
      </c>
      <c r="IH36" s="19">
        <f t="shared" si="8"/>
        <v>67.666666666666671</v>
      </c>
      <c r="II36" s="19">
        <f t="shared" si="8"/>
        <v>2</v>
      </c>
      <c r="IJ36" s="19">
        <f t="shared" si="8"/>
        <v>25</v>
      </c>
      <c r="IK36" s="19">
        <f t="shared" si="8"/>
        <v>2</v>
      </c>
      <c r="IL36" s="19">
        <f t="shared" si="8"/>
        <v>17.333333333333332</v>
      </c>
      <c r="IM36" s="19">
        <f t="shared" si="8"/>
        <v>48.906666666666666</v>
      </c>
      <c r="IN36" s="19">
        <f t="shared" si="8"/>
        <v>6.71</v>
      </c>
      <c r="IO36" s="19">
        <f t="shared" si="8"/>
        <v>7890</v>
      </c>
      <c r="IP36" s="19">
        <f t="shared" si="8"/>
        <v>264</v>
      </c>
      <c r="IQ36" s="19">
        <f t="shared" si="8"/>
        <v>414</v>
      </c>
      <c r="IR36" s="19">
        <f t="shared" si="8"/>
        <v>6</v>
      </c>
      <c r="IS36" s="19">
        <f t="shared" si="8"/>
        <v>425</v>
      </c>
      <c r="IT36" s="19">
        <f t="shared" si="8"/>
        <v>750</v>
      </c>
      <c r="IU36" s="19">
        <f t="shared" si="8"/>
        <v>6.1050000000000004</v>
      </c>
      <c r="IV36" s="19">
        <f t="shared" si="8"/>
        <v>1376.5</v>
      </c>
      <c r="IW36" s="19">
        <f t="shared" si="8"/>
        <v>368</v>
      </c>
      <c r="IX36" s="19">
        <f t="shared" si="8"/>
        <v>109.33333333333333</v>
      </c>
      <c r="IY36" s="19">
        <f t="shared" si="8"/>
        <v>27</v>
      </c>
      <c r="IZ36" s="19">
        <f t="shared" si="8"/>
        <v>4</v>
      </c>
      <c r="JA36" s="19">
        <f t="shared" si="8"/>
        <v>0.82333333333333325</v>
      </c>
      <c r="JB36" s="19">
        <f t="shared" ref="JB36:KB36" si="9">MIN(JB3:JB33)</f>
        <v>90.5</v>
      </c>
      <c r="JC36" s="19">
        <f t="shared" si="9"/>
        <v>6.3949999999999996</v>
      </c>
      <c r="JD36" s="19">
        <f t="shared" si="9"/>
        <v>62.24</v>
      </c>
      <c r="JE36" s="19">
        <f t="shared" si="9"/>
        <v>16</v>
      </c>
      <c r="JF36" s="19">
        <f t="shared" si="9"/>
        <v>2</v>
      </c>
      <c r="JG36" s="19">
        <f t="shared" si="9"/>
        <v>4.333333333333333</v>
      </c>
      <c r="JH36" s="19">
        <f t="shared" si="9"/>
        <v>5</v>
      </c>
      <c r="JI36" s="19">
        <f t="shared" si="9"/>
        <v>82.21</v>
      </c>
      <c r="JJ36" s="19">
        <f t="shared" si="9"/>
        <v>5.75</v>
      </c>
      <c r="JK36" s="19">
        <f t="shared" si="9"/>
        <v>1750</v>
      </c>
      <c r="JL36" s="19">
        <f t="shared" si="9"/>
        <v>410</v>
      </c>
      <c r="JM36" s="19">
        <f t="shared" si="9"/>
        <v>115</v>
      </c>
      <c r="JN36" s="19">
        <f t="shared" si="9"/>
        <v>8</v>
      </c>
      <c r="JO36" s="19">
        <f t="shared" si="9"/>
        <v>3.7</v>
      </c>
      <c r="JP36" s="19">
        <f t="shared" si="9"/>
        <v>0</v>
      </c>
      <c r="JQ36" s="19">
        <f t="shared" si="9"/>
        <v>0</v>
      </c>
      <c r="JR36" s="19">
        <f t="shared" si="9"/>
        <v>0</v>
      </c>
      <c r="JS36" s="19">
        <f t="shared" si="9"/>
        <v>0</v>
      </c>
      <c r="JT36" s="19">
        <f t="shared" si="9"/>
        <v>0</v>
      </c>
      <c r="JU36" s="19">
        <f t="shared" si="9"/>
        <v>0</v>
      </c>
      <c r="JV36" s="19">
        <f t="shared" si="9"/>
        <v>0</v>
      </c>
      <c r="JW36" s="19">
        <f t="shared" si="9"/>
        <v>0</v>
      </c>
      <c r="JX36" s="19">
        <f t="shared" si="9"/>
        <v>0</v>
      </c>
      <c r="JY36" s="19">
        <f t="shared" si="9"/>
        <v>0</v>
      </c>
      <c r="JZ36" s="19">
        <f t="shared" si="9"/>
        <v>0</v>
      </c>
      <c r="KA36" s="19">
        <f t="shared" si="9"/>
        <v>0</v>
      </c>
      <c r="KB36" s="19">
        <f t="shared" si="9"/>
        <v>0</v>
      </c>
    </row>
    <row r="37" spans="1:288">
      <c r="A37" s="18" t="s">
        <v>16</v>
      </c>
      <c r="C37" s="20">
        <f>AVERAGE(C3:C33)</f>
        <v>4.3633333333333333</v>
      </c>
      <c r="D37" s="20">
        <f>AVERAGE(D3:D33)</f>
        <v>8.1705555555555556</v>
      </c>
      <c r="E37" s="20">
        <f>AVERAGE(E3:E33)</f>
        <v>23.05</v>
      </c>
      <c r="F37" s="43">
        <f t="shared" ref="F37:BQ37" si="10">AVERAGE(F3:F33)</f>
        <v>866.33333333333337</v>
      </c>
      <c r="G37" s="43">
        <f t="shared" si="10"/>
        <v>3218.9166666666665</v>
      </c>
      <c r="H37" s="43">
        <f t="shared" si="10"/>
        <v>2400</v>
      </c>
      <c r="I37" s="43">
        <f t="shared" si="10"/>
        <v>88.666666666666671</v>
      </c>
      <c r="J37" s="43">
        <f t="shared" si="10"/>
        <v>42.888888888888886</v>
      </c>
      <c r="K37" s="43">
        <f t="shared" si="10"/>
        <v>113.72222222222221</v>
      </c>
      <c r="L37" s="20" t="e">
        <f t="shared" si="10"/>
        <v>#DIV/0!</v>
      </c>
      <c r="M37" s="20" t="e">
        <f t="shared" si="10"/>
        <v>#DIV/0!</v>
      </c>
      <c r="N37" s="20" t="e">
        <f t="shared" si="10"/>
        <v>#DIV/0!</v>
      </c>
      <c r="O37" s="20" t="e">
        <f t="shared" si="10"/>
        <v>#DIV/0!</v>
      </c>
      <c r="P37" s="20" t="e">
        <f t="shared" si="10"/>
        <v>#DIV/0!</v>
      </c>
      <c r="Q37" s="20" t="e">
        <f t="shared" si="10"/>
        <v>#DIV/0!</v>
      </c>
      <c r="R37" s="20" t="e">
        <f t="shared" si="10"/>
        <v>#DIV/0!</v>
      </c>
      <c r="S37" s="20" t="e">
        <f t="shared" si="10"/>
        <v>#DIV/0!</v>
      </c>
      <c r="T37" s="20" t="e">
        <f t="shared" si="10"/>
        <v>#DIV/0!</v>
      </c>
      <c r="U37" s="20" t="e">
        <f t="shared" si="10"/>
        <v>#DIV/0!</v>
      </c>
      <c r="V37" s="20" t="e">
        <f t="shared" si="10"/>
        <v>#DIV/0!</v>
      </c>
      <c r="W37" s="20" t="e">
        <f t="shared" si="10"/>
        <v>#DIV/0!</v>
      </c>
      <c r="X37" s="20" t="e">
        <f t="shared" si="10"/>
        <v>#DIV/0!</v>
      </c>
      <c r="Y37" s="20">
        <f t="shared" si="10"/>
        <v>42.166666666666664</v>
      </c>
      <c r="Z37" s="20">
        <f t="shared" si="10"/>
        <v>14</v>
      </c>
      <c r="AA37" s="20">
        <f t="shared" si="10"/>
        <v>2930.1666666666665</v>
      </c>
      <c r="AB37" s="20" t="e">
        <f t="shared" si="10"/>
        <v>#DIV/0!</v>
      </c>
      <c r="AC37" s="20" t="e">
        <f t="shared" si="10"/>
        <v>#DIV/0!</v>
      </c>
      <c r="AD37" s="20" t="e">
        <f t="shared" si="10"/>
        <v>#DIV/0!</v>
      </c>
      <c r="AE37" s="20" t="e">
        <f t="shared" si="10"/>
        <v>#DIV/0!</v>
      </c>
      <c r="AF37" s="20" t="e">
        <f t="shared" si="10"/>
        <v>#DIV/0!</v>
      </c>
      <c r="AG37" s="20" t="e">
        <f t="shared" si="10"/>
        <v>#DIV/0!</v>
      </c>
      <c r="AH37" s="20" t="e">
        <f t="shared" si="10"/>
        <v>#DIV/0!</v>
      </c>
      <c r="AI37" s="20" t="e">
        <f t="shared" si="10"/>
        <v>#DIV/0!</v>
      </c>
      <c r="AJ37" s="20" t="e">
        <f t="shared" si="10"/>
        <v>#DIV/0!</v>
      </c>
      <c r="AK37" s="20" t="e">
        <f t="shared" si="10"/>
        <v>#DIV/0!</v>
      </c>
      <c r="AL37" s="20" t="e">
        <f t="shared" si="10"/>
        <v>#DIV/0!</v>
      </c>
      <c r="AM37" s="20" t="e">
        <f t="shared" si="10"/>
        <v>#DIV/0!</v>
      </c>
      <c r="AN37" s="20" t="e">
        <f t="shared" si="10"/>
        <v>#DIV/0!</v>
      </c>
      <c r="AO37" s="20">
        <f t="shared" si="10"/>
        <v>23.011111111111109</v>
      </c>
      <c r="AP37" s="20">
        <f t="shared" si="10"/>
        <v>7.1461111111111109</v>
      </c>
      <c r="AQ37" s="20">
        <f t="shared" si="10"/>
        <v>1226.4444444444443</v>
      </c>
      <c r="AR37" s="20">
        <f t="shared" si="10"/>
        <v>3294.5277777777778</v>
      </c>
      <c r="AS37" s="20">
        <f t="shared" si="10"/>
        <v>1950</v>
      </c>
      <c r="AT37" s="20">
        <f t="shared" si="10"/>
        <v>67</v>
      </c>
      <c r="AU37" s="20">
        <f t="shared" si="10"/>
        <v>36.983333333333334</v>
      </c>
      <c r="AV37" s="20">
        <f t="shared" si="10"/>
        <v>117.5</v>
      </c>
      <c r="AW37" s="20">
        <f t="shared" si="10"/>
        <v>92.666666666666671</v>
      </c>
      <c r="AX37" s="20">
        <f t="shared" si="10"/>
        <v>7.0183333333333335</v>
      </c>
      <c r="AY37" s="20">
        <f t="shared" si="10"/>
        <v>315.66666666666669</v>
      </c>
      <c r="AZ37" s="20">
        <f t="shared" si="10"/>
        <v>1547</v>
      </c>
      <c r="BA37" s="20">
        <f t="shared" si="10"/>
        <v>453.94444444444451</v>
      </c>
      <c r="BB37" s="20">
        <f t="shared" si="10"/>
        <v>150</v>
      </c>
      <c r="BC37" s="20">
        <f t="shared" si="10"/>
        <v>136.16666666666666</v>
      </c>
      <c r="BD37" s="20">
        <f t="shared" si="10"/>
        <v>2.1438333333333333</v>
      </c>
      <c r="BE37" s="20">
        <f t="shared" si="10"/>
        <v>3.2333333333333329</v>
      </c>
      <c r="BF37" s="20">
        <f t="shared" si="10"/>
        <v>5554.833333333333</v>
      </c>
      <c r="BG37" s="20">
        <f t="shared" si="10"/>
        <v>3228.8333333333335</v>
      </c>
      <c r="BH37" s="20">
        <f t="shared" si="10"/>
        <v>0.58166666666666667</v>
      </c>
      <c r="BI37" s="20">
        <f t="shared" si="10"/>
        <v>113.5</v>
      </c>
      <c r="BJ37" s="20">
        <f t="shared" si="10"/>
        <v>23.305555555555557</v>
      </c>
      <c r="BK37" s="20">
        <f t="shared" si="10"/>
        <v>6.589999999999999</v>
      </c>
      <c r="BL37" s="20">
        <f t="shared" si="10"/>
        <v>294.83333333333331</v>
      </c>
      <c r="BM37" s="20">
        <f t="shared" si="10"/>
        <v>1572.5555555555554</v>
      </c>
      <c r="BN37" s="20">
        <f t="shared" si="10"/>
        <v>463.22222222222223</v>
      </c>
      <c r="BO37" s="20">
        <f t="shared" si="10"/>
        <v>105</v>
      </c>
      <c r="BP37" s="20">
        <f t="shared" si="10"/>
        <v>144.33333333333331</v>
      </c>
      <c r="BQ37" s="20">
        <f t="shared" si="10"/>
        <v>18</v>
      </c>
      <c r="BR37" s="20">
        <f t="shared" ref="BR37:EC37" si="11">AVERAGE(BR3:BR33)</f>
        <v>4.5277777777777777</v>
      </c>
      <c r="BS37" s="20">
        <f t="shared" si="11"/>
        <v>6196</v>
      </c>
      <c r="BT37" s="20">
        <f t="shared" si="11"/>
        <v>3673.6666666666665</v>
      </c>
      <c r="BU37" s="20">
        <f t="shared" si="11"/>
        <v>7.3666666666666671</v>
      </c>
      <c r="BV37" s="20">
        <f t="shared" si="11"/>
        <v>1537.8333333333333</v>
      </c>
      <c r="BW37" s="20">
        <f t="shared" si="11"/>
        <v>446.4444444444444</v>
      </c>
      <c r="BX37" s="20">
        <f t="shared" si="11"/>
        <v>86</v>
      </c>
      <c r="BY37" s="20">
        <f t="shared" si="11"/>
        <v>128.88888888888889</v>
      </c>
      <c r="BZ37" s="20">
        <f t="shared" si="11"/>
        <v>4.3999999999999995</v>
      </c>
      <c r="CA37" s="20">
        <f t="shared" si="11"/>
        <v>3761.5</v>
      </c>
      <c r="CB37" s="20">
        <f t="shared" si="11"/>
        <v>2199.3333333333335</v>
      </c>
      <c r="CC37" s="20">
        <f t="shared" si="11"/>
        <v>7.5744444444444445</v>
      </c>
      <c r="CD37" s="20">
        <f t="shared" si="11"/>
        <v>1581.1666666666667</v>
      </c>
      <c r="CE37" s="20">
        <f t="shared" si="11"/>
        <v>441.0555555555556</v>
      </c>
      <c r="CF37" s="20">
        <f t="shared" si="11"/>
        <v>70</v>
      </c>
      <c r="CG37" s="20">
        <f t="shared" si="11"/>
        <v>127.05555555555554</v>
      </c>
      <c r="CH37" s="20">
        <f t="shared" si="11"/>
        <v>5.05</v>
      </c>
      <c r="CI37" s="20">
        <f t="shared" si="11"/>
        <v>3518.1666666666665</v>
      </c>
      <c r="CJ37" s="20">
        <f t="shared" si="11"/>
        <v>2133.3333333333335</v>
      </c>
      <c r="CK37" s="20">
        <f t="shared" si="11"/>
        <v>1.3839444444444444</v>
      </c>
      <c r="CL37" s="20">
        <f t="shared" si="11"/>
        <v>7.6888888888888891</v>
      </c>
      <c r="CM37" s="20">
        <f t="shared" si="11"/>
        <v>93</v>
      </c>
      <c r="CN37" s="20">
        <f t="shared" si="11"/>
        <v>1510.6388888888887</v>
      </c>
      <c r="CO37" s="20">
        <f t="shared" si="11"/>
        <v>451.49999999999994</v>
      </c>
      <c r="CP37" s="20">
        <f t="shared" si="11"/>
        <v>48</v>
      </c>
      <c r="CQ37" s="20">
        <f t="shared" si="11"/>
        <v>134.19444444444443</v>
      </c>
      <c r="CR37" s="20">
        <f t="shared" si="11"/>
        <v>21.092777777777773</v>
      </c>
      <c r="CS37" s="20">
        <f t="shared" si="11"/>
        <v>116.83333333333333</v>
      </c>
      <c r="CT37" s="20">
        <f t="shared" si="11"/>
        <v>7.6741666666666672</v>
      </c>
      <c r="CU37" s="20">
        <f t="shared" si="11"/>
        <v>1535.5</v>
      </c>
      <c r="CV37" s="20">
        <f t="shared" si="11"/>
        <v>446.61111111111109</v>
      </c>
      <c r="CW37" s="20">
        <f t="shared" si="11"/>
        <v>40</v>
      </c>
      <c r="CX37" s="20">
        <f t="shared" si="11"/>
        <v>80</v>
      </c>
      <c r="CY37" s="20">
        <f t="shared" si="11"/>
        <v>132.16666666666666</v>
      </c>
      <c r="CZ37" s="20">
        <f t="shared" si="11"/>
        <v>20.452777777777772</v>
      </c>
      <c r="DA37" s="20">
        <f t="shared" si="11"/>
        <v>50.19222222222222</v>
      </c>
      <c r="DB37" s="20">
        <f t="shared" si="11"/>
        <v>1498.7777777777776</v>
      </c>
      <c r="DC37" s="20">
        <f t="shared" si="11"/>
        <v>450.63888888888891</v>
      </c>
      <c r="DD37" s="20">
        <f t="shared" si="11"/>
        <v>134.25</v>
      </c>
      <c r="DE37" s="20">
        <f t="shared" si="11"/>
        <v>51.566666666666663</v>
      </c>
      <c r="DF37" s="20">
        <f t="shared" si="11"/>
        <v>120.47222222222221</v>
      </c>
      <c r="DG37" s="20">
        <f t="shared" si="11"/>
        <v>39.333333333333336</v>
      </c>
      <c r="DH37" s="20">
        <f t="shared" si="11"/>
        <v>35.588888888888889</v>
      </c>
      <c r="DI37" s="20" t="e">
        <f t="shared" si="11"/>
        <v>#DIV/0!</v>
      </c>
      <c r="DJ37" s="20" t="e">
        <f t="shared" si="11"/>
        <v>#DIV/0!</v>
      </c>
      <c r="DK37" s="20" t="e">
        <f t="shared" si="11"/>
        <v>#DIV/0!</v>
      </c>
      <c r="DL37" s="20" t="e">
        <f t="shared" si="11"/>
        <v>#DIV/0!</v>
      </c>
      <c r="DM37" s="20" t="e">
        <f t="shared" si="11"/>
        <v>#DIV/0!</v>
      </c>
      <c r="DN37" s="20" t="e">
        <f t="shared" si="11"/>
        <v>#DIV/0!</v>
      </c>
      <c r="DO37" s="20" t="e">
        <f t="shared" si="11"/>
        <v>#DIV/0!</v>
      </c>
      <c r="DP37" s="20" t="e">
        <f t="shared" si="11"/>
        <v>#DIV/0!</v>
      </c>
      <c r="DQ37" s="20" t="e">
        <f t="shared" si="11"/>
        <v>#DIV/0!</v>
      </c>
      <c r="DR37" s="20" t="e">
        <f t="shared" si="11"/>
        <v>#DIV/0!</v>
      </c>
      <c r="DS37" s="20" t="e">
        <f t="shared" si="11"/>
        <v>#DIV/0!</v>
      </c>
      <c r="DT37" s="20" t="e">
        <f t="shared" si="11"/>
        <v>#DIV/0!</v>
      </c>
      <c r="DU37" s="20" t="e">
        <f t="shared" si="11"/>
        <v>#DIV/0!</v>
      </c>
      <c r="DV37" s="20" t="e">
        <f t="shared" si="11"/>
        <v>#DIV/0!</v>
      </c>
      <c r="DW37" s="20" t="e">
        <f t="shared" si="11"/>
        <v>#DIV/0!</v>
      </c>
      <c r="DX37" s="20">
        <f t="shared" si="11"/>
        <v>7.7441666666666658</v>
      </c>
      <c r="DY37" s="20">
        <f t="shared" si="11"/>
        <v>1501.6944444444446</v>
      </c>
      <c r="DZ37" s="20">
        <f t="shared" si="11"/>
        <v>434.33333333333326</v>
      </c>
      <c r="EA37" s="20">
        <f t="shared" si="11"/>
        <v>26.5</v>
      </c>
      <c r="EB37" s="20">
        <f t="shared" si="11"/>
        <v>129.58333333333334</v>
      </c>
      <c r="EC37" s="20">
        <f t="shared" si="11"/>
        <v>85.333333333333329</v>
      </c>
      <c r="ED37" s="20">
        <f t="shared" ref="ED37:GO37" si="12">AVERAGE(ED3:ED33)</f>
        <v>19.494444444444444</v>
      </c>
      <c r="EE37" s="20">
        <f t="shared" si="12"/>
        <v>135.91666666666666</v>
      </c>
      <c r="EF37" s="20">
        <f t="shared" si="12"/>
        <v>2171.25</v>
      </c>
      <c r="EG37" s="20">
        <f t="shared" si="12"/>
        <v>7.0133333333333345</v>
      </c>
      <c r="EH37" s="20">
        <f t="shared" si="12"/>
        <v>1529.5</v>
      </c>
      <c r="EI37" s="20">
        <f t="shared" si="12"/>
        <v>412.22222222222217</v>
      </c>
      <c r="EJ37" s="20">
        <f t="shared" si="12"/>
        <v>27</v>
      </c>
      <c r="EK37" s="20">
        <f t="shared" si="12"/>
        <v>121.11111111111113</v>
      </c>
      <c r="EL37" s="20">
        <f t="shared" si="12"/>
        <v>4.5999999999999996</v>
      </c>
      <c r="EM37" s="20">
        <f t="shared" si="12"/>
        <v>1.1719444444444445</v>
      </c>
      <c r="EN37" s="20">
        <f t="shared" si="12"/>
        <v>117.72222222222223</v>
      </c>
      <c r="EO37" s="20">
        <f t="shared" si="12"/>
        <v>392.5555555555556</v>
      </c>
      <c r="EP37" s="20">
        <f t="shared" si="12"/>
        <v>6.38</v>
      </c>
      <c r="EQ37" s="20">
        <f t="shared" si="12"/>
        <v>1523.1666666666667</v>
      </c>
      <c r="ER37" s="20">
        <f t="shared" si="12"/>
        <v>401.22222222222223</v>
      </c>
      <c r="ES37" s="20">
        <f t="shared" si="12"/>
        <v>117.83333333333333</v>
      </c>
      <c r="ET37" s="20">
        <f t="shared" si="12"/>
        <v>5.6</v>
      </c>
      <c r="EU37" s="20">
        <f t="shared" si="12"/>
        <v>110.16666666666667</v>
      </c>
      <c r="EV37" s="20">
        <f t="shared" si="12"/>
        <v>274.38888888888886</v>
      </c>
      <c r="EW37" s="20">
        <f t="shared" si="12"/>
        <v>5.8166666666666664</v>
      </c>
      <c r="EX37" s="20">
        <f t="shared" si="12"/>
        <v>70.72</v>
      </c>
      <c r="EY37" s="20">
        <f t="shared" si="12"/>
        <v>15.555555555555557</v>
      </c>
      <c r="EZ37" s="20">
        <f t="shared" si="12"/>
        <v>2.6</v>
      </c>
      <c r="FA37" s="20">
        <f t="shared" si="12"/>
        <v>5.4444444444444438</v>
      </c>
      <c r="FB37" s="20">
        <f t="shared" si="12"/>
        <v>2</v>
      </c>
      <c r="FC37" s="20">
        <f t="shared" si="12"/>
        <v>6.0555555555555562</v>
      </c>
      <c r="FD37" s="20">
        <f t="shared" si="12"/>
        <v>10.128111111111112</v>
      </c>
      <c r="FE37" s="20">
        <f t="shared" si="12"/>
        <v>6.4322222222222223</v>
      </c>
      <c r="FF37" s="20">
        <f t="shared" si="12"/>
        <v>5548.7222222222217</v>
      </c>
      <c r="FG37" s="20">
        <f t="shared" si="12"/>
        <v>1504.2222222222224</v>
      </c>
      <c r="FH37" s="20">
        <f t="shared" si="12"/>
        <v>344.77777777777777</v>
      </c>
      <c r="FI37" s="20">
        <f t="shared" si="12"/>
        <v>13.166666666666666</v>
      </c>
      <c r="FJ37" s="20">
        <f t="shared" si="12"/>
        <v>355.77777777777777</v>
      </c>
      <c r="FK37" s="20">
        <f t="shared" si="12"/>
        <v>3.1616666666666666</v>
      </c>
      <c r="FL37" s="20">
        <f t="shared" si="12"/>
        <v>1288.8888888888889</v>
      </c>
      <c r="FM37" s="20" t="e">
        <f t="shared" si="12"/>
        <v>#DIV/0!</v>
      </c>
      <c r="FN37" s="20" t="e">
        <f t="shared" si="12"/>
        <v>#DIV/0!</v>
      </c>
      <c r="FO37" s="20" t="e">
        <f t="shared" si="12"/>
        <v>#DIV/0!</v>
      </c>
      <c r="FP37" s="20" t="e">
        <f t="shared" si="12"/>
        <v>#DIV/0!</v>
      </c>
      <c r="FQ37" s="20" t="e">
        <f t="shared" si="12"/>
        <v>#DIV/0!</v>
      </c>
      <c r="FR37" s="20" t="e">
        <f t="shared" si="12"/>
        <v>#DIV/0!</v>
      </c>
      <c r="FS37" s="20" t="e">
        <f t="shared" si="12"/>
        <v>#DIV/0!</v>
      </c>
      <c r="FT37" s="20" t="e">
        <f t="shared" si="12"/>
        <v>#DIV/0!</v>
      </c>
      <c r="FU37" s="20" t="e">
        <f t="shared" si="12"/>
        <v>#DIV/0!</v>
      </c>
      <c r="FV37" s="20" t="e">
        <f t="shared" si="12"/>
        <v>#DIV/0!</v>
      </c>
      <c r="FW37" s="20" t="e">
        <f t="shared" si="12"/>
        <v>#DIV/0!</v>
      </c>
      <c r="FX37" s="20" t="e">
        <f t="shared" si="12"/>
        <v>#DIV/0!</v>
      </c>
      <c r="FY37" s="20" t="e">
        <f t="shared" si="12"/>
        <v>#DIV/0!</v>
      </c>
      <c r="FZ37" s="20" t="e">
        <f t="shared" si="12"/>
        <v>#DIV/0!</v>
      </c>
      <c r="GA37" s="20" t="e">
        <f t="shared" si="12"/>
        <v>#DIV/0!</v>
      </c>
      <c r="GB37" s="20" t="e">
        <f t="shared" si="12"/>
        <v>#DIV/0!</v>
      </c>
      <c r="GC37" s="20" t="e">
        <f t="shared" si="12"/>
        <v>#DIV/0!</v>
      </c>
      <c r="GD37" s="20" t="e">
        <f t="shared" si="12"/>
        <v>#DIV/0!</v>
      </c>
      <c r="GE37" s="20" t="e">
        <f t="shared" si="12"/>
        <v>#DIV/0!</v>
      </c>
      <c r="GF37" s="20" t="e">
        <f t="shared" si="12"/>
        <v>#DIV/0!</v>
      </c>
      <c r="GG37" s="20" t="e">
        <f t="shared" si="12"/>
        <v>#DIV/0!</v>
      </c>
      <c r="GH37" s="20" t="e">
        <f t="shared" si="12"/>
        <v>#DIV/0!</v>
      </c>
      <c r="GI37" s="20" t="e">
        <f t="shared" si="12"/>
        <v>#DIV/0!</v>
      </c>
      <c r="GJ37" s="20" t="e">
        <f t="shared" si="12"/>
        <v>#DIV/0!</v>
      </c>
      <c r="GK37" s="20" t="e">
        <f t="shared" si="12"/>
        <v>#DIV/0!</v>
      </c>
      <c r="GL37" s="20" t="e">
        <f t="shared" si="12"/>
        <v>#DIV/0!</v>
      </c>
      <c r="GM37" s="20" t="e">
        <f t="shared" si="12"/>
        <v>#DIV/0!</v>
      </c>
      <c r="GN37" s="20" t="e">
        <f t="shared" si="12"/>
        <v>#DIV/0!</v>
      </c>
      <c r="GO37" s="20" t="e">
        <f t="shared" si="12"/>
        <v>#DIV/0!</v>
      </c>
      <c r="GP37" s="20" t="e">
        <f t="shared" ref="GP37:JA37" si="13">AVERAGE(GP3:GP33)</f>
        <v>#DIV/0!</v>
      </c>
      <c r="GQ37" s="20" t="e">
        <f t="shared" si="13"/>
        <v>#DIV/0!</v>
      </c>
      <c r="GR37" s="20" t="e">
        <f t="shared" si="13"/>
        <v>#DIV/0!</v>
      </c>
      <c r="GS37" s="20" t="e">
        <f t="shared" si="13"/>
        <v>#DIV/0!</v>
      </c>
      <c r="GT37" s="20" t="e">
        <f t="shared" si="13"/>
        <v>#DIV/0!</v>
      </c>
      <c r="GU37" s="20" t="e">
        <f t="shared" si="13"/>
        <v>#DIV/0!</v>
      </c>
      <c r="GV37" s="20" t="e">
        <f t="shared" si="13"/>
        <v>#DIV/0!</v>
      </c>
      <c r="GW37" s="20" t="e">
        <f t="shared" si="13"/>
        <v>#DIV/0!</v>
      </c>
      <c r="GX37" s="20" t="e">
        <f t="shared" si="13"/>
        <v>#DIV/0!</v>
      </c>
      <c r="GY37" s="20" t="e">
        <f t="shared" si="13"/>
        <v>#DIV/0!</v>
      </c>
      <c r="GZ37" s="20" t="e">
        <f t="shared" si="13"/>
        <v>#DIV/0!</v>
      </c>
      <c r="HA37" s="20" t="e">
        <f t="shared" si="13"/>
        <v>#DIV/0!</v>
      </c>
      <c r="HB37" s="20">
        <f t="shared" si="13"/>
        <v>7.52</v>
      </c>
      <c r="HC37" s="20">
        <f t="shared" si="13"/>
        <v>5365.5</v>
      </c>
      <c r="HD37" s="20">
        <f t="shared" si="13"/>
        <v>1344.75</v>
      </c>
      <c r="HE37" s="20">
        <f t="shared" si="13"/>
        <v>476.25</v>
      </c>
      <c r="HF37" s="20">
        <f t="shared" si="13"/>
        <v>22</v>
      </c>
      <c r="HG37" s="20">
        <f t="shared" si="13"/>
        <v>427.75</v>
      </c>
      <c r="HH37" s="20">
        <f t="shared" si="13"/>
        <v>1280</v>
      </c>
      <c r="HI37" s="20">
        <f t="shared" si="13"/>
        <v>7.3450000000000006</v>
      </c>
      <c r="HJ37" s="20">
        <f t="shared" si="13"/>
        <v>1654.75</v>
      </c>
      <c r="HK37" s="20">
        <f t="shared" si="13"/>
        <v>206.5</v>
      </c>
      <c r="HL37" s="20">
        <f t="shared" si="13"/>
        <v>2</v>
      </c>
      <c r="HM37" s="20">
        <f t="shared" si="13"/>
        <v>91.75</v>
      </c>
      <c r="HN37" s="20">
        <f t="shared" si="13"/>
        <v>2</v>
      </c>
      <c r="HO37" s="20">
        <f t="shared" si="13"/>
        <v>55.5</v>
      </c>
      <c r="HP37" s="20">
        <f t="shared" si="13"/>
        <v>298.5</v>
      </c>
      <c r="HQ37" s="20">
        <f t="shared" si="13"/>
        <v>7.1775000000000002</v>
      </c>
      <c r="HR37" s="20">
        <f t="shared" si="13"/>
        <v>9575.25</v>
      </c>
      <c r="HS37" s="20">
        <f t="shared" si="13"/>
        <v>2014</v>
      </c>
      <c r="HT37" s="20">
        <f t="shared" si="13"/>
        <v>733</v>
      </c>
      <c r="HU37" s="20">
        <f t="shared" si="13"/>
        <v>30</v>
      </c>
      <c r="HV37" s="20">
        <f t="shared" si="13"/>
        <v>932.75</v>
      </c>
      <c r="HW37" s="20" t="e">
        <f t="shared" si="13"/>
        <v>#DIV/0!</v>
      </c>
      <c r="HX37" s="20">
        <f t="shared" si="13"/>
        <v>1229.5</v>
      </c>
      <c r="HY37" s="20">
        <f t="shared" si="13"/>
        <v>6.5811111111111122</v>
      </c>
      <c r="HZ37" s="20">
        <f t="shared" si="13"/>
        <v>5226.1111111111113</v>
      </c>
      <c r="IA37" s="20">
        <f t="shared" si="13"/>
        <v>1491.0555555555554</v>
      </c>
      <c r="IB37" s="20">
        <f t="shared" si="13"/>
        <v>304.05555555555554</v>
      </c>
      <c r="IC37" s="20">
        <f t="shared" si="13"/>
        <v>13.6</v>
      </c>
      <c r="ID37" s="20">
        <f t="shared" si="13"/>
        <v>345</v>
      </c>
      <c r="IE37" s="20">
        <f t="shared" si="13"/>
        <v>801.77777777777783</v>
      </c>
      <c r="IF37" s="20">
        <f t="shared" si="13"/>
        <v>6.860555555555556</v>
      </c>
      <c r="IG37" s="20">
        <f t="shared" si="13"/>
        <v>1028.8611111111111</v>
      </c>
      <c r="IH37" s="20">
        <f t="shared" si="13"/>
        <v>126.6111111111111</v>
      </c>
      <c r="II37" s="20">
        <f t="shared" si="13"/>
        <v>2</v>
      </c>
      <c r="IJ37" s="20">
        <f t="shared" si="13"/>
        <v>48.388888888888893</v>
      </c>
      <c r="IK37" s="20">
        <f t="shared" si="13"/>
        <v>2</v>
      </c>
      <c r="IL37" s="20">
        <f t="shared" si="13"/>
        <v>90.8888888888889</v>
      </c>
      <c r="IM37" s="20">
        <f t="shared" si="13"/>
        <v>162.70711111111112</v>
      </c>
      <c r="IN37" s="20">
        <f t="shared" si="13"/>
        <v>7.23</v>
      </c>
      <c r="IO37" s="20">
        <f t="shared" si="13"/>
        <v>9464</v>
      </c>
      <c r="IP37" s="20">
        <f t="shared" si="13"/>
        <v>1758.2777777777776</v>
      </c>
      <c r="IQ37" s="20">
        <f t="shared" si="13"/>
        <v>568.66666666666663</v>
      </c>
      <c r="IR37" s="20">
        <f t="shared" si="13"/>
        <v>22.5</v>
      </c>
      <c r="IS37" s="20">
        <f t="shared" si="13"/>
        <v>633.72222222222229</v>
      </c>
      <c r="IT37" s="20">
        <f t="shared" si="13"/>
        <v>998.72222222222217</v>
      </c>
      <c r="IU37" s="20">
        <f t="shared" si="13"/>
        <v>7.3547222222222226</v>
      </c>
      <c r="IV37" s="20">
        <f t="shared" si="13"/>
        <v>1510.25</v>
      </c>
      <c r="IW37" s="20">
        <f t="shared" si="13"/>
        <v>413.8055555555556</v>
      </c>
      <c r="IX37" s="20">
        <f t="shared" si="13"/>
        <v>120.6388888888889</v>
      </c>
      <c r="IY37" s="20">
        <f t="shared" si="13"/>
        <v>30.666666666666668</v>
      </c>
      <c r="IZ37" s="20">
        <f t="shared" si="13"/>
        <v>8.3333333333333339</v>
      </c>
      <c r="JA37" s="20">
        <f t="shared" si="13"/>
        <v>1.413888888888889</v>
      </c>
      <c r="JB37" s="20">
        <f t="shared" ref="JB37:KB37" si="14">AVERAGE(JB3:JB33)</f>
        <v>118.05555555555556</v>
      </c>
      <c r="JC37" s="20">
        <f t="shared" si="14"/>
        <v>7.0141666666666671</v>
      </c>
      <c r="JD37" s="20">
        <f t="shared" si="14"/>
        <v>76.611111111111114</v>
      </c>
      <c r="JE37" s="20">
        <f t="shared" si="14"/>
        <v>21</v>
      </c>
      <c r="JF37" s="20">
        <f t="shared" si="14"/>
        <v>2</v>
      </c>
      <c r="JG37" s="20">
        <f t="shared" si="14"/>
        <v>5.7777777777777777</v>
      </c>
      <c r="JH37" s="20">
        <f t="shared" si="14"/>
        <v>8.1111111111111125</v>
      </c>
      <c r="JI37" s="20">
        <f t="shared" si="14"/>
        <v>85.776666666666657</v>
      </c>
      <c r="JJ37" s="20">
        <f t="shared" si="14"/>
        <v>6.833333333333333</v>
      </c>
      <c r="JK37" s="20">
        <f t="shared" si="14"/>
        <v>2152</v>
      </c>
      <c r="JL37" s="20">
        <f t="shared" si="14"/>
        <v>533.66666666666663</v>
      </c>
      <c r="JM37" s="20">
        <f t="shared" si="14"/>
        <v>132.33333333333334</v>
      </c>
      <c r="JN37" s="20">
        <f t="shared" si="14"/>
        <v>21</v>
      </c>
      <c r="JO37" s="20">
        <f t="shared" si="14"/>
        <v>30.87</v>
      </c>
      <c r="JP37" s="20" t="e">
        <f t="shared" si="14"/>
        <v>#DIV/0!</v>
      </c>
      <c r="JQ37" s="20" t="e">
        <f t="shared" si="14"/>
        <v>#DIV/0!</v>
      </c>
      <c r="JR37" s="20" t="e">
        <f t="shared" si="14"/>
        <v>#DIV/0!</v>
      </c>
      <c r="JS37" s="20" t="e">
        <f t="shared" si="14"/>
        <v>#DIV/0!</v>
      </c>
      <c r="JT37" s="20" t="e">
        <f t="shared" si="14"/>
        <v>#DIV/0!</v>
      </c>
      <c r="JU37" s="20" t="e">
        <f t="shared" si="14"/>
        <v>#DIV/0!</v>
      </c>
      <c r="JV37" s="20" t="e">
        <f t="shared" si="14"/>
        <v>#DIV/0!</v>
      </c>
      <c r="JW37" s="20" t="e">
        <f t="shared" si="14"/>
        <v>#DIV/0!</v>
      </c>
      <c r="JX37" s="20" t="e">
        <f t="shared" si="14"/>
        <v>#DIV/0!</v>
      </c>
      <c r="JY37" s="20" t="e">
        <f t="shared" si="14"/>
        <v>#DIV/0!</v>
      </c>
      <c r="JZ37" s="20" t="e">
        <f t="shared" si="14"/>
        <v>#DIV/0!</v>
      </c>
      <c r="KA37" s="20" t="e">
        <f t="shared" si="14"/>
        <v>#DIV/0!</v>
      </c>
      <c r="KB37" s="20" t="e">
        <f t="shared" si="14"/>
        <v>#DIV/0!</v>
      </c>
    </row>
  </sheetData>
  <mergeCells count="36">
    <mergeCell ref="JW1:KB1"/>
    <mergeCell ref="GS1:HA1"/>
    <mergeCell ref="HB1:HH1"/>
    <mergeCell ref="HI1:HP1"/>
    <mergeCell ref="HQ1:HX1"/>
    <mergeCell ref="HY1:IE1"/>
    <mergeCell ref="IF1:IM1"/>
    <mergeCell ref="IU1:JB1"/>
    <mergeCell ref="IN1:IT1"/>
    <mergeCell ref="JC1:JH1"/>
    <mergeCell ref="JJ1:JO1"/>
    <mergeCell ref="JP1:JU1"/>
    <mergeCell ref="GJ1:GR1"/>
    <mergeCell ref="DI1:DM1"/>
    <mergeCell ref="DN1:DS1"/>
    <mergeCell ref="DT1:DW1"/>
    <mergeCell ref="DX1:EF1"/>
    <mergeCell ref="EG1:EO1"/>
    <mergeCell ref="EP1:EV1"/>
    <mergeCell ref="EW1:FD1"/>
    <mergeCell ref="FE1:FL1"/>
    <mergeCell ref="FM1:FS1"/>
    <mergeCell ref="FT1:FZ1"/>
    <mergeCell ref="GA1:GI1"/>
    <mergeCell ref="DA1:DH1"/>
    <mergeCell ref="C1:AA1"/>
    <mergeCell ref="AB1:AH1"/>
    <mergeCell ref="AI1:AN1"/>
    <mergeCell ref="AO1:AW1"/>
    <mergeCell ref="AX1:BI1"/>
    <mergeCell ref="BJ1:BR1"/>
    <mergeCell ref="BS1:BT1"/>
    <mergeCell ref="BU1:CB1"/>
    <mergeCell ref="CC1:CK1"/>
    <mergeCell ref="CL1:CS1"/>
    <mergeCell ref="CT1:CZ1"/>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F052-B69D-4AEB-982F-0570419FC6DF}">
  <sheetPr>
    <tabColor rgb="FF00B050"/>
  </sheetPr>
  <dimension ref="A1"/>
  <sheetViews>
    <sheetView tabSelected="1" zoomScaleNormal="100" workbookViewId="0">
      <selection activeCell="R20" sqref="R20"/>
    </sheetView>
  </sheetViews>
  <sheetFormatPr defaultRowHeight="1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B559-3F20-44D4-B3C9-28E7A2866EB1}">
  <dimension ref="A1:N179"/>
  <sheetViews>
    <sheetView zoomScale="102" zoomScaleNormal="175" workbookViewId="0">
      <pane ySplit="1" topLeftCell="A4" activePane="bottomLeft" state="frozen"/>
      <selection pane="bottomLeft" activeCell="C131" sqref="C131"/>
    </sheetView>
  </sheetViews>
  <sheetFormatPr defaultRowHeight="15.75"/>
  <cols>
    <col min="1" max="1" width="19.28515625" style="37" customWidth="1"/>
    <col min="2" max="2" width="14.7109375" style="37" customWidth="1"/>
    <col min="3" max="3" width="12.85546875" style="37" customWidth="1"/>
    <col min="4" max="4" width="12" style="37" customWidth="1"/>
    <col min="5" max="5" width="12.28515625" style="37" customWidth="1"/>
    <col min="6" max="12" width="9.140625" style="37"/>
    <col min="13" max="13" width="12" style="37" bestFit="1" customWidth="1"/>
    <col min="14" max="14" width="17.42578125" style="37" bestFit="1" customWidth="1"/>
    <col min="15" max="16384" width="9.140625" style="37"/>
  </cols>
  <sheetData>
    <row r="1" spans="1:14" s="46" customFormat="1" ht="30" customHeight="1">
      <c r="A1" s="50" t="s">
        <v>36</v>
      </c>
      <c r="B1" s="51" t="s">
        <v>126</v>
      </c>
      <c r="C1" s="51" t="s">
        <v>82</v>
      </c>
      <c r="D1" s="51" t="s">
        <v>83</v>
      </c>
      <c r="E1" s="52" t="s">
        <v>16</v>
      </c>
      <c r="M1" s="47" t="s">
        <v>126</v>
      </c>
      <c r="N1" s="48" t="s">
        <v>36</v>
      </c>
    </row>
    <row r="2" spans="1:14" hidden="1">
      <c r="A2" s="49" t="s">
        <v>18</v>
      </c>
      <c r="B2" s="38" t="s">
        <v>38</v>
      </c>
      <c r="C2" s="40">
        <f>'Report Book'!C35</f>
        <v>5.75</v>
      </c>
      <c r="D2" s="40">
        <f>'Report Book'!C36</f>
        <v>3.5</v>
      </c>
      <c r="E2" s="41">
        <f>'Report Book'!C37</f>
        <v>4.3633333333333333</v>
      </c>
      <c r="M2" s="38" t="s">
        <v>38</v>
      </c>
      <c r="N2" s="39" t="s">
        <v>18</v>
      </c>
    </row>
    <row r="3" spans="1:14" hidden="1">
      <c r="A3" s="49" t="s">
        <v>18</v>
      </c>
      <c r="B3" s="38" t="s">
        <v>0</v>
      </c>
      <c r="C3" s="40">
        <f>'Report Book'!D35</f>
        <v>9.0533333333333328</v>
      </c>
      <c r="D3" s="40">
        <f>'Report Book'!D36</f>
        <v>7.52</v>
      </c>
      <c r="E3" s="41">
        <f>'Report Book'!D37</f>
        <v>8.1705555555555556</v>
      </c>
      <c r="M3" s="38" t="s">
        <v>0</v>
      </c>
      <c r="N3" s="39" t="s">
        <v>19</v>
      </c>
    </row>
    <row r="4" spans="1:14" hidden="1">
      <c r="A4" s="49" t="s">
        <v>18</v>
      </c>
      <c r="B4" s="38" t="s">
        <v>127</v>
      </c>
      <c r="C4" s="40">
        <f>'Report Book'!E35</f>
        <v>23.433333333333334</v>
      </c>
      <c r="D4" s="40">
        <f>'Report Book'!E36</f>
        <v>22.7</v>
      </c>
      <c r="E4" s="41">
        <f>'Report Book'!E37</f>
        <v>23.05</v>
      </c>
      <c r="M4" s="38" t="s">
        <v>127</v>
      </c>
      <c r="N4" s="39" t="s">
        <v>128</v>
      </c>
    </row>
    <row r="5" spans="1:14" hidden="1">
      <c r="A5" s="49" t="s">
        <v>18</v>
      </c>
      <c r="B5" s="38" t="s">
        <v>1</v>
      </c>
      <c r="C5" s="44">
        <f>'Report Book'!F35</f>
        <v>1082.3333333333333</v>
      </c>
      <c r="D5" s="44">
        <f>'Report Book'!F36</f>
        <v>720.66666666666663</v>
      </c>
      <c r="E5" s="45">
        <f>'Report Book'!F37</f>
        <v>866.33333333333337</v>
      </c>
      <c r="M5" s="38" t="s">
        <v>1</v>
      </c>
      <c r="N5" s="39" t="s">
        <v>21</v>
      </c>
    </row>
    <row r="6" spans="1:14" hidden="1">
      <c r="A6" s="49" t="s">
        <v>18</v>
      </c>
      <c r="B6" s="38" t="s">
        <v>2</v>
      </c>
      <c r="C6" s="44">
        <f>'Report Book'!G35</f>
        <v>3562</v>
      </c>
      <c r="D6" s="44">
        <f>'Report Book'!G36</f>
        <v>2665</v>
      </c>
      <c r="E6" s="45">
        <f>'Report Book'!G37</f>
        <v>3218.9166666666665</v>
      </c>
      <c r="M6" s="38" t="s">
        <v>2</v>
      </c>
      <c r="N6" s="39" t="s">
        <v>22</v>
      </c>
    </row>
    <row r="7" spans="1:14" hidden="1">
      <c r="A7" s="49" t="s">
        <v>18</v>
      </c>
      <c r="B7" s="38" t="s">
        <v>3</v>
      </c>
      <c r="C7" s="44">
        <f>'Report Book'!H35</f>
        <v>2400</v>
      </c>
      <c r="D7" s="44">
        <f>'Report Book'!H36</f>
        <v>2400</v>
      </c>
      <c r="E7" s="45">
        <f>'Report Book'!H37</f>
        <v>2400</v>
      </c>
      <c r="M7" s="38" t="s">
        <v>3</v>
      </c>
      <c r="N7" s="39" t="s">
        <v>24</v>
      </c>
    </row>
    <row r="8" spans="1:14">
      <c r="A8" s="49" t="s">
        <v>18</v>
      </c>
      <c r="B8" s="38" t="s">
        <v>12</v>
      </c>
      <c r="C8" s="44">
        <f>'Report Book'!I35</f>
        <v>154</v>
      </c>
      <c r="D8" s="44">
        <f>'Report Book'!I36</f>
        <v>38</v>
      </c>
      <c r="E8" s="45">
        <f>'Report Book'!I37</f>
        <v>88.666666666666671</v>
      </c>
      <c r="M8" s="38" t="s">
        <v>12</v>
      </c>
      <c r="N8" s="39" t="s">
        <v>25</v>
      </c>
    </row>
    <row r="9" spans="1:14" hidden="1">
      <c r="A9" s="49" t="s">
        <v>18</v>
      </c>
      <c r="B9" s="38" t="s">
        <v>7</v>
      </c>
      <c r="C9" s="44">
        <f>'Report Book'!J35</f>
        <v>55.966666666666669</v>
      </c>
      <c r="D9" s="44">
        <f>'Report Book'!J36</f>
        <v>21.900000000000002</v>
      </c>
      <c r="E9" s="45">
        <f>'Report Book'!J37</f>
        <v>42.888888888888886</v>
      </c>
      <c r="M9" s="38" t="s">
        <v>7</v>
      </c>
      <c r="N9" s="39" t="s">
        <v>26</v>
      </c>
    </row>
    <row r="10" spans="1:14" hidden="1">
      <c r="A10" s="49" t="s">
        <v>18</v>
      </c>
      <c r="B10" s="38" t="s">
        <v>4</v>
      </c>
      <c r="C10" s="44">
        <f>'Report Book'!K35</f>
        <v>136.66666666666666</v>
      </c>
      <c r="D10" s="44">
        <f>'Report Book'!K36</f>
        <v>98</v>
      </c>
      <c r="E10" s="44">
        <f>'Report Book'!K37</f>
        <v>113.72222222222221</v>
      </c>
      <c r="M10" s="38" t="s">
        <v>4</v>
      </c>
      <c r="N10" s="39" t="s">
        <v>27</v>
      </c>
    </row>
    <row r="11" spans="1:14" hidden="1">
      <c r="A11" s="49" t="s">
        <v>18</v>
      </c>
      <c r="B11" s="38" t="s">
        <v>6</v>
      </c>
      <c r="C11" s="44">
        <f>'Report Book'!Y35</f>
        <v>111.33333333333333</v>
      </c>
      <c r="D11" s="44">
        <f>'Report Book'!Y36</f>
        <v>16</v>
      </c>
      <c r="E11" s="44">
        <f>'Report Book'!Y37</f>
        <v>42.166666666666664</v>
      </c>
      <c r="M11" s="38" t="s">
        <v>6</v>
      </c>
      <c r="N11" s="39" t="s">
        <v>28</v>
      </c>
    </row>
    <row r="12" spans="1:14" hidden="1">
      <c r="A12" s="49" t="s">
        <v>18</v>
      </c>
      <c r="B12" s="38" t="s">
        <v>5</v>
      </c>
      <c r="C12" s="44">
        <f>'Report Book'!Z35</f>
        <v>36</v>
      </c>
      <c r="D12" s="44">
        <f>'Report Book'!Z36</f>
        <v>4</v>
      </c>
      <c r="E12" s="44">
        <f>'Report Book'!Z37</f>
        <v>14</v>
      </c>
      <c r="M12" s="38" t="s">
        <v>5</v>
      </c>
      <c r="N12" s="39" t="s">
        <v>29</v>
      </c>
    </row>
    <row r="13" spans="1:14" hidden="1">
      <c r="A13" s="49" t="s">
        <v>18</v>
      </c>
      <c r="B13" s="38" t="s">
        <v>37</v>
      </c>
      <c r="C13" s="44">
        <f>'Report Book'!AA35</f>
        <v>3833</v>
      </c>
      <c r="D13" s="44">
        <f>'Report Book'!AA36</f>
        <v>1745</v>
      </c>
      <c r="E13" s="44">
        <f>'Report Book'!AA37</f>
        <v>2930.1666666666665</v>
      </c>
      <c r="M13" s="38" t="s">
        <v>37</v>
      </c>
      <c r="N13" s="39" t="s">
        <v>30</v>
      </c>
    </row>
    <row r="14" spans="1:14" hidden="1">
      <c r="A14" s="49" t="s">
        <v>19</v>
      </c>
      <c r="B14" s="38" t="s">
        <v>127</v>
      </c>
      <c r="C14" s="40">
        <f>'Report Book'!AO35</f>
        <v>23.3</v>
      </c>
      <c r="D14" s="40">
        <f>'Report Book'!AO36</f>
        <v>22.700000000000003</v>
      </c>
      <c r="E14" s="41">
        <f>'Report Book'!AO37</f>
        <v>23.011111111111109</v>
      </c>
      <c r="M14" s="38" t="s">
        <v>13</v>
      </c>
      <c r="N14" s="39" t="s">
        <v>31</v>
      </c>
    </row>
    <row r="15" spans="1:14" hidden="1">
      <c r="A15" s="49" t="s">
        <v>19</v>
      </c>
      <c r="B15" s="38" t="s">
        <v>0</v>
      </c>
      <c r="C15" s="40">
        <f>'Report Book'!AP35</f>
        <v>7.77</v>
      </c>
      <c r="D15" s="40">
        <f>'Report Book'!AP36</f>
        <v>6.48</v>
      </c>
      <c r="E15" s="41">
        <f>'Report Book'!AP37</f>
        <v>7.1461111111111109</v>
      </c>
      <c r="M15" s="38" t="s">
        <v>8</v>
      </c>
      <c r="N15" s="39" t="s">
        <v>129</v>
      </c>
    </row>
    <row r="16" spans="1:14" hidden="1">
      <c r="A16" s="49" t="s">
        <v>19</v>
      </c>
      <c r="B16" s="38" t="s">
        <v>1</v>
      </c>
      <c r="C16" s="44">
        <f>'Report Book'!AQ35</f>
        <v>1590.3333333333333</v>
      </c>
      <c r="D16" s="44">
        <f>'Report Book'!AQ36</f>
        <v>1005</v>
      </c>
      <c r="E16" s="45">
        <f>'Report Book'!AQ37</f>
        <v>1226.4444444444443</v>
      </c>
      <c r="M16" s="38" t="s">
        <v>9</v>
      </c>
      <c r="N16" s="39" t="s">
        <v>130</v>
      </c>
    </row>
    <row r="17" spans="1:14" hidden="1">
      <c r="A17" s="49" t="s">
        <v>19</v>
      </c>
      <c r="B17" s="38" t="s">
        <v>2</v>
      </c>
      <c r="C17" s="44">
        <f>'Report Book'!AR35</f>
        <v>3488</v>
      </c>
      <c r="D17" s="44">
        <f>'Report Book'!AR36</f>
        <v>2604</v>
      </c>
      <c r="E17" s="45">
        <f>'Report Book'!AR37</f>
        <v>3294.5277777777778</v>
      </c>
      <c r="M17" s="38" t="s">
        <v>17</v>
      </c>
      <c r="N17" s="39" t="s">
        <v>131</v>
      </c>
    </row>
    <row r="18" spans="1:14" hidden="1">
      <c r="A18" s="49" t="s">
        <v>19</v>
      </c>
      <c r="B18" s="38" t="s">
        <v>3</v>
      </c>
      <c r="C18" s="44">
        <f>'Report Book'!AS35</f>
        <v>1950</v>
      </c>
      <c r="D18" s="44">
        <f>'Report Book'!AS36</f>
        <v>1950</v>
      </c>
      <c r="E18" s="45">
        <f>'Report Book'!AS37</f>
        <v>1950</v>
      </c>
      <c r="M18" s="38" t="s">
        <v>10</v>
      </c>
      <c r="N18" s="39" t="s">
        <v>132</v>
      </c>
    </row>
    <row r="19" spans="1:14">
      <c r="A19" s="49" t="s">
        <v>19</v>
      </c>
      <c r="B19" s="38" t="s">
        <v>12</v>
      </c>
      <c r="C19" s="44">
        <f>'Report Book'!AT35</f>
        <v>98</v>
      </c>
      <c r="D19" s="44">
        <f>'Report Book'!AT36</f>
        <v>26</v>
      </c>
      <c r="E19" s="45">
        <f>'Report Book'!AT37</f>
        <v>67</v>
      </c>
      <c r="M19" s="38" t="s">
        <v>11</v>
      </c>
      <c r="N19" s="39" t="s">
        <v>32</v>
      </c>
    </row>
    <row r="20" spans="1:14" hidden="1">
      <c r="A20" s="49" t="s">
        <v>19</v>
      </c>
      <c r="B20" s="38" t="s">
        <v>7</v>
      </c>
      <c r="C20" s="44">
        <f>'Report Book'!AU35</f>
        <v>62.300000000000004</v>
      </c>
      <c r="D20" s="44">
        <f>'Report Book'!AU36</f>
        <v>28</v>
      </c>
      <c r="E20" s="45">
        <f>'Report Book'!AU37</f>
        <v>36.983333333333334</v>
      </c>
      <c r="M20" s="38" t="s">
        <v>23</v>
      </c>
      <c r="N20" s="39" t="s">
        <v>33</v>
      </c>
    </row>
    <row r="21" spans="1:14" hidden="1">
      <c r="A21" s="49" t="s">
        <v>19</v>
      </c>
      <c r="B21" s="38" t="s">
        <v>4</v>
      </c>
      <c r="C21" s="44">
        <f>'Report Book'!AV35</f>
        <v>134.33333333333334</v>
      </c>
      <c r="D21" s="44">
        <f>'Report Book'!AV36</f>
        <v>97.333333333333329</v>
      </c>
      <c r="E21" s="45">
        <f>'Report Book'!AV37</f>
        <v>117.5</v>
      </c>
      <c r="M21" s="38"/>
      <c r="N21" s="39" t="s">
        <v>34</v>
      </c>
    </row>
    <row r="22" spans="1:14" hidden="1">
      <c r="A22" s="49" t="s">
        <v>19</v>
      </c>
      <c r="B22" s="38" t="s">
        <v>6</v>
      </c>
      <c r="C22" s="44">
        <f>'Report Book'!AW35</f>
        <v>140</v>
      </c>
      <c r="D22" s="44">
        <f>'Report Book'!AW36</f>
        <v>45</v>
      </c>
      <c r="E22" s="45">
        <f>'Report Book'!AW37</f>
        <v>92.666666666666671</v>
      </c>
    </row>
    <row r="23" spans="1:14" hidden="1">
      <c r="A23" s="49" t="s">
        <v>128</v>
      </c>
      <c r="B23" s="38" t="s">
        <v>0</v>
      </c>
      <c r="C23" s="40">
        <f>'Report Book'!AX35</f>
        <v>7.5066666666666668</v>
      </c>
      <c r="D23" s="40">
        <f>'Report Book'!AX36</f>
        <v>6.456666666666667</v>
      </c>
      <c r="E23" s="41">
        <f>'Report Book'!AX37</f>
        <v>7.0183333333333335</v>
      </c>
    </row>
    <row r="24" spans="1:14" hidden="1">
      <c r="A24" s="49" t="s">
        <v>128</v>
      </c>
      <c r="B24" s="38" t="s">
        <v>8</v>
      </c>
      <c r="C24" s="44">
        <f>'Report Book'!AY35</f>
        <v>384</v>
      </c>
      <c r="D24" s="44">
        <f>'Report Book'!AY36</f>
        <v>208</v>
      </c>
      <c r="E24" s="45">
        <f>'Report Book'!AY37</f>
        <v>315.66666666666669</v>
      </c>
    </row>
    <row r="25" spans="1:14" hidden="1">
      <c r="A25" s="49" t="s">
        <v>128</v>
      </c>
      <c r="B25" s="38" t="s">
        <v>1</v>
      </c>
      <c r="C25" s="44">
        <f>'Report Book'!AZ35</f>
        <v>1802</v>
      </c>
      <c r="D25" s="44">
        <f>'Report Book'!AZ36</f>
        <v>1385</v>
      </c>
      <c r="E25" s="45">
        <f>'Report Book'!AZ37</f>
        <v>1547</v>
      </c>
    </row>
    <row r="26" spans="1:14" hidden="1">
      <c r="A26" s="49" t="s">
        <v>128</v>
      </c>
      <c r="B26" s="38" t="s">
        <v>2</v>
      </c>
      <c r="C26" s="44">
        <f>'Report Book'!BA35</f>
        <v>500</v>
      </c>
      <c r="D26" s="44">
        <f>'Report Book'!BA36</f>
        <v>399.33333333333331</v>
      </c>
      <c r="E26" s="45">
        <f>'Report Book'!BA37</f>
        <v>453.94444444444451</v>
      </c>
    </row>
    <row r="27" spans="1:14" hidden="1">
      <c r="A27" s="49" t="s">
        <v>128</v>
      </c>
      <c r="B27" s="38" t="s">
        <v>3</v>
      </c>
      <c r="C27" s="44">
        <f>'Report Book'!BB35</f>
        <v>165</v>
      </c>
      <c r="D27" s="44">
        <f>'Report Book'!BB36</f>
        <v>135</v>
      </c>
      <c r="E27" s="45">
        <f>'Report Book'!BB37</f>
        <v>150</v>
      </c>
    </row>
    <row r="28" spans="1:14" hidden="1">
      <c r="A28" s="49" t="s">
        <v>128</v>
      </c>
      <c r="B28" s="38" t="s">
        <v>4</v>
      </c>
      <c r="C28" s="44">
        <f>'Report Book'!BC35</f>
        <v>165</v>
      </c>
      <c r="D28" s="44">
        <f>'Report Book'!BC36</f>
        <v>123.33333333333333</v>
      </c>
      <c r="E28" s="45">
        <f>'Report Book'!BC37</f>
        <v>136.16666666666666</v>
      </c>
    </row>
    <row r="29" spans="1:14" hidden="1">
      <c r="A29" s="49" t="s">
        <v>128</v>
      </c>
      <c r="B29" s="38" t="s">
        <v>9</v>
      </c>
      <c r="C29" s="40">
        <f>'Report Book'!BD35</f>
        <v>2.4633333333333334</v>
      </c>
      <c r="D29" s="40">
        <f>'Report Book'!BD36</f>
        <v>1.9533333333333334</v>
      </c>
      <c r="E29" s="41">
        <f>'Report Book'!BD37</f>
        <v>2.1438333333333333</v>
      </c>
    </row>
    <row r="30" spans="1:14" hidden="1">
      <c r="A30" s="49" t="s">
        <v>128</v>
      </c>
      <c r="B30" s="38" t="s">
        <v>17</v>
      </c>
      <c r="C30" s="40">
        <f>'Report Book'!BE35</f>
        <v>3.8</v>
      </c>
      <c r="D30" s="40">
        <f>'Report Book'!BE36</f>
        <v>2.4</v>
      </c>
      <c r="E30" s="41">
        <f>'Report Book'!BE37</f>
        <v>3.2333333333333329</v>
      </c>
    </row>
    <row r="31" spans="1:14" hidden="1">
      <c r="A31" s="49" t="s">
        <v>128</v>
      </c>
      <c r="B31" s="38" t="s">
        <v>10</v>
      </c>
      <c r="C31" s="44">
        <f>'Report Book'!BF35</f>
        <v>8965</v>
      </c>
      <c r="D31" s="44">
        <f>'Report Book'!BF36</f>
        <v>2498</v>
      </c>
      <c r="E31" s="45">
        <f>'Report Book'!BF37</f>
        <v>5554.833333333333</v>
      </c>
    </row>
    <row r="32" spans="1:14" hidden="1">
      <c r="A32" s="49" t="s">
        <v>128</v>
      </c>
      <c r="B32" s="38" t="s">
        <v>11</v>
      </c>
      <c r="C32" s="44">
        <f>'Report Book'!BG35</f>
        <v>5326</v>
      </c>
      <c r="D32" s="44">
        <f>'Report Book'!BG36</f>
        <v>1514</v>
      </c>
      <c r="E32" s="45">
        <f>'Report Book'!BG37</f>
        <v>3228.8333333333335</v>
      </c>
    </row>
    <row r="33" spans="1:5" hidden="1">
      <c r="A33" s="49" t="s">
        <v>128</v>
      </c>
      <c r="B33" s="38" t="s">
        <v>23</v>
      </c>
      <c r="C33" s="40">
        <f>C32/C31</f>
        <v>0.59408812046848858</v>
      </c>
      <c r="D33" s="40">
        <f t="shared" ref="D33:E33" si="0">D32/D31</f>
        <v>0.60608486789431548</v>
      </c>
      <c r="E33" s="40">
        <f t="shared" si="0"/>
        <v>0.58126556452338807</v>
      </c>
    </row>
    <row r="34" spans="1:5" hidden="1">
      <c r="A34" s="49" t="s">
        <v>128</v>
      </c>
      <c r="B34" s="38" t="s">
        <v>6</v>
      </c>
      <c r="C34" s="44">
        <f>'Report Book'!BI35</f>
        <v>150</v>
      </c>
      <c r="D34" s="44">
        <f>'Report Book'!BI36</f>
        <v>80</v>
      </c>
      <c r="E34" s="45">
        <f>'Report Book'!BI37</f>
        <v>113.5</v>
      </c>
    </row>
    <row r="35" spans="1:5" hidden="1">
      <c r="A35" s="49" t="s">
        <v>21</v>
      </c>
      <c r="B35" s="38" t="s">
        <v>127</v>
      </c>
      <c r="C35" s="40">
        <f>'Report Book'!BJ35</f>
        <v>24.166666666666668</v>
      </c>
      <c r="D35" s="40">
        <f>'Report Book'!BJ36</f>
        <v>22.9</v>
      </c>
      <c r="E35" s="41">
        <f>'Report Book'!BJ37</f>
        <v>23.305555555555557</v>
      </c>
    </row>
    <row r="36" spans="1:5" hidden="1">
      <c r="A36" s="49" t="s">
        <v>21</v>
      </c>
      <c r="B36" s="38" t="s">
        <v>0</v>
      </c>
      <c r="C36" s="40">
        <f>'Report Book'!BK35</f>
        <v>6.7149999999999999</v>
      </c>
      <c r="D36" s="40">
        <f>'Report Book'!BK36</f>
        <v>6.166666666666667</v>
      </c>
      <c r="E36" s="41">
        <f>'Report Book'!BK37</f>
        <v>6.589999999999999</v>
      </c>
    </row>
    <row r="37" spans="1:5" hidden="1">
      <c r="A37" s="49" t="s">
        <v>21</v>
      </c>
      <c r="B37" s="38" t="s">
        <v>8</v>
      </c>
      <c r="C37" s="44">
        <f>'Report Book'!BL35</f>
        <v>364</v>
      </c>
      <c r="D37" s="44">
        <f>'Report Book'!BL36</f>
        <v>187</v>
      </c>
      <c r="E37" s="45">
        <f>'Report Book'!BL37</f>
        <v>294.83333333333331</v>
      </c>
    </row>
    <row r="38" spans="1:5" hidden="1">
      <c r="A38" s="49" t="s">
        <v>21</v>
      </c>
      <c r="B38" s="38" t="s">
        <v>1</v>
      </c>
      <c r="C38" s="44">
        <f>'Report Book'!BM35</f>
        <v>1801.3333333333333</v>
      </c>
      <c r="D38" s="44">
        <f>'Report Book'!BM36</f>
        <v>1371.5</v>
      </c>
      <c r="E38" s="45">
        <f>'Report Book'!BM37</f>
        <v>1572.5555555555554</v>
      </c>
    </row>
    <row r="39" spans="1:5" hidden="1">
      <c r="A39" s="49" t="s">
        <v>21</v>
      </c>
      <c r="B39" s="38" t="s">
        <v>2</v>
      </c>
      <c r="C39" s="44">
        <f>'Report Book'!BN35</f>
        <v>517</v>
      </c>
      <c r="D39" s="44">
        <f>'Report Book'!BN36</f>
        <v>400.66666666666669</v>
      </c>
      <c r="E39" s="45">
        <f>'Report Book'!BN37</f>
        <v>463.22222222222223</v>
      </c>
    </row>
    <row r="40" spans="1:5" hidden="1">
      <c r="A40" s="49" t="s">
        <v>21</v>
      </c>
      <c r="B40" s="38" t="s">
        <v>3</v>
      </c>
      <c r="C40" s="44">
        <f>'Report Book'!BO35</f>
        <v>105</v>
      </c>
      <c r="D40" s="44">
        <f>'Report Book'!BO36</f>
        <v>105</v>
      </c>
      <c r="E40" s="45">
        <f>'Report Book'!BO37</f>
        <v>105</v>
      </c>
    </row>
    <row r="41" spans="1:5" hidden="1">
      <c r="A41" s="49" t="s">
        <v>21</v>
      </c>
      <c r="B41" s="38" t="s">
        <v>4</v>
      </c>
      <c r="C41" s="44">
        <f>'Report Book'!BP35</f>
        <v>197.66666666666666</v>
      </c>
      <c r="D41" s="44">
        <f>'Report Book'!BP36</f>
        <v>118.66666666666667</v>
      </c>
      <c r="E41" s="45">
        <f>'Report Book'!BP37</f>
        <v>144.33333333333331</v>
      </c>
    </row>
    <row r="42" spans="1:5">
      <c r="A42" s="49" t="s">
        <v>21</v>
      </c>
      <c r="B42" s="38" t="s">
        <v>12</v>
      </c>
      <c r="C42" s="44">
        <f>'Report Book'!BQ35</f>
        <v>26</v>
      </c>
      <c r="D42" s="44">
        <f>'Report Book'!BQ36</f>
        <v>6</v>
      </c>
      <c r="E42" s="45">
        <f>'Report Book'!BQ37</f>
        <v>18</v>
      </c>
    </row>
    <row r="43" spans="1:5" hidden="1">
      <c r="A43" s="49" t="s">
        <v>21</v>
      </c>
      <c r="B43" s="38" t="s">
        <v>7</v>
      </c>
      <c r="C43" s="40">
        <f>'Report Book'!BR35</f>
        <v>6.15</v>
      </c>
      <c r="D43" s="40">
        <f>'Report Book'!BR36</f>
        <v>3.1</v>
      </c>
      <c r="E43" s="41">
        <f>'Report Book'!BR37</f>
        <v>4.5277777777777777</v>
      </c>
    </row>
    <row r="44" spans="1:5" hidden="1">
      <c r="A44" s="49" t="s">
        <v>22</v>
      </c>
      <c r="B44" s="38" t="s">
        <v>10</v>
      </c>
      <c r="C44" s="44">
        <f>'Report Book'!BS35</f>
        <v>9653</v>
      </c>
      <c r="D44" s="44">
        <f>'Report Book'!BS36</f>
        <v>4885</v>
      </c>
      <c r="E44" s="45">
        <f>'Report Book'!BS37</f>
        <v>6196</v>
      </c>
    </row>
    <row r="45" spans="1:5" hidden="1">
      <c r="A45" s="49" t="s">
        <v>22</v>
      </c>
      <c r="B45" s="38" t="s">
        <v>11</v>
      </c>
      <c r="C45" s="44">
        <f>'Report Book'!BT35</f>
        <v>5862</v>
      </c>
      <c r="D45" s="44">
        <f>'Report Book'!BT36</f>
        <v>2935</v>
      </c>
      <c r="E45" s="45">
        <f>'Report Book'!BT37</f>
        <v>3673.6666666666665</v>
      </c>
    </row>
    <row r="46" spans="1:5" hidden="1">
      <c r="A46" s="49" t="s">
        <v>22</v>
      </c>
      <c r="B46" s="38" t="s">
        <v>23</v>
      </c>
      <c r="C46" s="40">
        <f>C45/C44</f>
        <v>0.60727235056459128</v>
      </c>
      <c r="D46" s="40">
        <f t="shared" ref="D46:E46" si="1">D45/D44</f>
        <v>0.60081883316274309</v>
      </c>
      <c r="E46" s="40">
        <f t="shared" si="1"/>
        <v>0.59290940391650526</v>
      </c>
    </row>
    <row r="47" spans="1:5" hidden="1">
      <c r="A47" s="49" t="s">
        <v>24</v>
      </c>
      <c r="B47" s="38" t="s">
        <v>0</v>
      </c>
      <c r="C47" s="40">
        <f>'Report Book'!BU35</f>
        <v>7.59</v>
      </c>
      <c r="D47" s="40">
        <f>'Report Book'!BU36</f>
        <v>6.753333333333333</v>
      </c>
      <c r="E47" s="41">
        <f>'Report Book'!BU37</f>
        <v>7.3666666666666671</v>
      </c>
    </row>
    <row r="48" spans="1:5" hidden="1">
      <c r="A48" s="49" t="s">
        <v>24</v>
      </c>
      <c r="B48" s="38" t="s">
        <v>1</v>
      </c>
      <c r="C48" s="44">
        <f>'Report Book'!BV35</f>
        <v>1723.6666666666667</v>
      </c>
      <c r="D48" s="44">
        <f>'Report Book'!BV36</f>
        <v>1379</v>
      </c>
      <c r="E48" s="45">
        <f>'Report Book'!BV37</f>
        <v>1537.8333333333333</v>
      </c>
    </row>
    <row r="49" spans="1:5" hidden="1">
      <c r="A49" s="49" t="s">
        <v>24</v>
      </c>
      <c r="B49" s="38" t="s">
        <v>2</v>
      </c>
      <c r="C49" s="44">
        <f>'Report Book'!BW35</f>
        <v>494.33333333333331</v>
      </c>
      <c r="D49" s="44">
        <f>'Report Book'!BW36</f>
        <v>394</v>
      </c>
      <c r="E49" s="45">
        <f>'Report Book'!BW37</f>
        <v>446.4444444444444</v>
      </c>
    </row>
    <row r="50" spans="1:5" hidden="1">
      <c r="A50" s="49" t="s">
        <v>24</v>
      </c>
      <c r="B50" s="38" t="s">
        <v>3</v>
      </c>
      <c r="C50" s="44">
        <f>'Report Book'!BX35</f>
        <v>96</v>
      </c>
      <c r="D50" s="44">
        <f>'Report Book'!BX36</f>
        <v>78</v>
      </c>
      <c r="E50" s="45">
        <f>'Report Book'!BX37</f>
        <v>86</v>
      </c>
    </row>
    <row r="51" spans="1:5" hidden="1">
      <c r="A51" s="49" t="s">
        <v>24</v>
      </c>
      <c r="B51" s="38" t="s">
        <v>4</v>
      </c>
      <c r="C51" s="44">
        <f>'Report Book'!BY35</f>
        <v>164.66666666666666</v>
      </c>
      <c r="D51" s="44">
        <f>'Report Book'!BY36</f>
        <v>115.33333333333333</v>
      </c>
      <c r="E51" s="45">
        <f>'Report Book'!BY37</f>
        <v>128.88888888888889</v>
      </c>
    </row>
    <row r="52" spans="1:5" hidden="1">
      <c r="A52" s="49" t="s">
        <v>24</v>
      </c>
      <c r="B52" s="38" t="s">
        <v>17</v>
      </c>
      <c r="C52" s="40">
        <f>'Report Book'!BZ35</f>
        <v>5</v>
      </c>
      <c r="D52" s="40">
        <f>'Report Book'!BZ36</f>
        <v>3.8</v>
      </c>
      <c r="E52" s="41">
        <f>'Report Book'!BZ37</f>
        <v>4.3999999999999995</v>
      </c>
    </row>
    <row r="53" spans="1:5" hidden="1">
      <c r="A53" s="49" t="s">
        <v>24</v>
      </c>
      <c r="B53" s="38" t="s">
        <v>10</v>
      </c>
      <c r="C53" s="44">
        <f>'Report Book'!CA35</f>
        <v>4852</v>
      </c>
      <c r="D53" s="44">
        <f>'Report Book'!CA36</f>
        <v>2658</v>
      </c>
      <c r="E53" s="45">
        <f>'Report Book'!CA37</f>
        <v>3761.5</v>
      </c>
    </row>
    <row r="54" spans="1:5" hidden="1">
      <c r="A54" s="49" t="s">
        <v>24</v>
      </c>
      <c r="B54" s="38" t="s">
        <v>11</v>
      </c>
      <c r="C54" s="44">
        <f>'Report Book'!CB35</f>
        <v>3011</v>
      </c>
      <c r="D54" s="44">
        <f>'Report Book'!CB36</f>
        <v>1415</v>
      </c>
      <c r="E54" s="45">
        <f>'Report Book'!CB37</f>
        <v>2199.3333333333335</v>
      </c>
    </row>
    <row r="55" spans="1:5" hidden="1">
      <c r="A55" s="49" t="s">
        <v>24</v>
      </c>
      <c r="B55" s="38" t="s">
        <v>23</v>
      </c>
      <c r="C55" s="40">
        <f>C54/C53</f>
        <v>0.62056883759274528</v>
      </c>
      <c r="D55" s="40">
        <f t="shared" ref="D55:E55" si="2">D54/D53</f>
        <v>0.53235515425131674</v>
      </c>
      <c r="E55" s="40">
        <f t="shared" si="2"/>
        <v>0.58469582170233514</v>
      </c>
    </row>
    <row r="56" spans="1:5" hidden="1">
      <c r="A56" s="49" t="s">
        <v>25</v>
      </c>
      <c r="B56" s="38" t="s">
        <v>0</v>
      </c>
      <c r="C56" s="40">
        <f>'Report Book'!CC35</f>
        <v>7.996666666666667</v>
      </c>
      <c r="D56" s="40">
        <f>'Report Book'!CC36</f>
        <v>7.1266666666666678</v>
      </c>
      <c r="E56" s="41">
        <f>'Report Book'!CC37</f>
        <v>7.5744444444444445</v>
      </c>
    </row>
    <row r="57" spans="1:5" hidden="1">
      <c r="A57" s="49" t="s">
        <v>25</v>
      </c>
      <c r="B57" s="38" t="s">
        <v>1</v>
      </c>
      <c r="C57" s="44">
        <f>'Report Book'!CD35</f>
        <v>1901</v>
      </c>
      <c r="D57" s="44">
        <f>'Report Book'!CD36</f>
        <v>1404.6666666666667</v>
      </c>
      <c r="E57" s="45">
        <f>'Report Book'!CD37</f>
        <v>1581.1666666666667</v>
      </c>
    </row>
    <row r="58" spans="1:5" hidden="1">
      <c r="A58" s="49" t="s">
        <v>25</v>
      </c>
      <c r="B58" s="38" t="s">
        <v>2</v>
      </c>
      <c r="C58" s="44">
        <f>'Report Book'!CE35</f>
        <v>489.33333333333331</v>
      </c>
      <c r="D58" s="44">
        <f>'Report Book'!CE36</f>
        <v>387.33333333333331</v>
      </c>
      <c r="E58" s="45">
        <f>'Report Book'!CE37</f>
        <v>441.0555555555556</v>
      </c>
    </row>
    <row r="59" spans="1:5" hidden="1">
      <c r="A59" s="49" t="s">
        <v>25</v>
      </c>
      <c r="B59" s="38" t="s">
        <v>3</v>
      </c>
      <c r="C59" s="44">
        <f>'Report Book'!CF35</f>
        <v>78</v>
      </c>
      <c r="D59" s="44">
        <f>'Report Book'!CF36</f>
        <v>60</v>
      </c>
      <c r="E59" s="45">
        <f>'Report Book'!CF37</f>
        <v>70</v>
      </c>
    </row>
    <row r="60" spans="1:5" hidden="1">
      <c r="A60" s="49" t="s">
        <v>25</v>
      </c>
      <c r="B60" s="38" t="s">
        <v>4</v>
      </c>
      <c r="C60" s="44">
        <f>'Report Book'!CG35</f>
        <v>162.66666666666666</v>
      </c>
      <c r="D60" s="44">
        <f>'Report Book'!CG36</f>
        <v>113.66666666666667</v>
      </c>
      <c r="E60" s="45">
        <f>'Report Book'!CG37</f>
        <v>127.05555555555554</v>
      </c>
    </row>
    <row r="61" spans="1:5" hidden="1">
      <c r="A61" s="49" t="s">
        <v>25</v>
      </c>
      <c r="B61" s="38" t="s">
        <v>17</v>
      </c>
      <c r="C61" s="40">
        <f>'Report Book'!CH35</f>
        <v>5.5</v>
      </c>
      <c r="D61" s="40">
        <f>'Report Book'!CH36</f>
        <v>4.2</v>
      </c>
      <c r="E61" s="41">
        <f>'Report Book'!CH37</f>
        <v>5.05</v>
      </c>
    </row>
    <row r="62" spans="1:5" hidden="1">
      <c r="A62" s="49" t="s">
        <v>25</v>
      </c>
      <c r="B62" s="38" t="s">
        <v>10</v>
      </c>
      <c r="C62" s="44">
        <f>'Report Book'!CI35</f>
        <v>4164</v>
      </c>
      <c r="D62" s="44">
        <f>'Report Book'!CI36</f>
        <v>2365</v>
      </c>
      <c r="E62" s="45">
        <f>'Report Book'!CI37</f>
        <v>3518.1666666666665</v>
      </c>
    </row>
    <row r="63" spans="1:5" hidden="1">
      <c r="A63" s="49" t="s">
        <v>25</v>
      </c>
      <c r="B63" s="38" t="s">
        <v>11</v>
      </c>
      <c r="C63" s="44">
        <f>'Report Book'!CJ35</f>
        <v>2510</v>
      </c>
      <c r="D63" s="44">
        <f>'Report Book'!CJ36</f>
        <v>1423</v>
      </c>
      <c r="E63" s="45">
        <f>'Report Book'!CJ37</f>
        <v>2133.3333333333335</v>
      </c>
    </row>
    <row r="64" spans="1:5" hidden="1">
      <c r="A64" s="49" t="s">
        <v>25</v>
      </c>
      <c r="B64" s="38" t="s">
        <v>23</v>
      </c>
      <c r="C64" s="40">
        <f>C63/C62</f>
        <v>0.60278578290105667</v>
      </c>
      <c r="D64" s="40">
        <f t="shared" ref="D64:E64" si="3">D63/D62</f>
        <v>0.60169133192389002</v>
      </c>
      <c r="E64" s="40">
        <f t="shared" si="3"/>
        <v>0.60637642711639594</v>
      </c>
    </row>
    <row r="65" spans="1:5" hidden="1">
      <c r="A65" s="49" t="s">
        <v>26</v>
      </c>
      <c r="B65" s="38" t="s">
        <v>0</v>
      </c>
      <c r="C65" s="40">
        <f>'Report Book'!CL35</f>
        <v>7.8833333333333329</v>
      </c>
      <c r="D65" s="40">
        <f>'Report Book'!CL36</f>
        <v>7.4633333333333338</v>
      </c>
      <c r="E65" s="41">
        <f>'Report Book'!CL37</f>
        <v>7.6888888888888891</v>
      </c>
    </row>
    <row r="66" spans="1:5">
      <c r="A66" s="49" t="s">
        <v>26</v>
      </c>
      <c r="B66" s="38" t="s">
        <v>12</v>
      </c>
      <c r="C66" s="44">
        <f>'Report Book'!CM35</f>
        <v>162</v>
      </c>
      <c r="D66" s="44">
        <f>'Report Book'!CM36</f>
        <v>38</v>
      </c>
      <c r="E66" s="45">
        <f>'Report Book'!CM37</f>
        <v>93</v>
      </c>
    </row>
    <row r="67" spans="1:5" hidden="1">
      <c r="A67" s="49" t="s">
        <v>26</v>
      </c>
      <c r="B67" s="38" t="s">
        <v>1</v>
      </c>
      <c r="C67" s="44">
        <f>'Report Book'!CN35</f>
        <v>1717.3333333333333</v>
      </c>
      <c r="D67" s="44">
        <f>'Report Book'!CN36</f>
        <v>1320</v>
      </c>
      <c r="E67" s="45">
        <f>'Report Book'!CN37</f>
        <v>1510.6388888888887</v>
      </c>
    </row>
    <row r="68" spans="1:5" hidden="1">
      <c r="A68" s="49" t="s">
        <v>26</v>
      </c>
      <c r="B68" s="38" t="s">
        <v>2</v>
      </c>
      <c r="C68" s="44">
        <f>'Report Book'!CO35</f>
        <v>498.5</v>
      </c>
      <c r="D68" s="44">
        <f>'Report Book'!CO36</f>
        <v>396.66666666666669</v>
      </c>
      <c r="E68" s="45">
        <f>'Report Book'!CO37</f>
        <v>451.49999999999994</v>
      </c>
    </row>
    <row r="69" spans="1:5" hidden="1">
      <c r="A69" s="49" t="s">
        <v>26</v>
      </c>
      <c r="B69" s="38" t="s">
        <v>3</v>
      </c>
      <c r="C69" s="44">
        <f>'Report Book'!CP35</f>
        <v>48</v>
      </c>
      <c r="D69" s="44">
        <f>'Report Book'!CP36</f>
        <v>48</v>
      </c>
      <c r="E69" s="45">
        <f>'Report Book'!CP37</f>
        <v>48</v>
      </c>
    </row>
    <row r="70" spans="1:5" hidden="1">
      <c r="A70" s="49" t="s">
        <v>26</v>
      </c>
      <c r="B70" s="38" t="s">
        <v>4</v>
      </c>
      <c r="C70" s="44">
        <f>'Report Book'!CQ35</f>
        <v>166.66666666666666</v>
      </c>
      <c r="D70" s="44">
        <f>'Report Book'!CQ36</f>
        <v>117.33333333333333</v>
      </c>
      <c r="E70" s="45">
        <f>'Report Book'!CQ37</f>
        <v>134.19444444444443</v>
      </c>
    </row>
    <row r="71" spans="1:5" hidden="1">
      <c r="A71" s="49" t="s">
        <v>26</v>
      </c>
      <c r="B71" s="38" t="s">
        <v>7</v>
      </c>
      <c r="C71" s="40">
        <f>'Report Book'!CR35</f>
        <v>35.4</v>
      </c>
      <c r="D71" s="40">
        <f>'Report Book'!CR36</f>
        <v>5.0333333333333341</v>
      </c>
      <c r="E71" s="41">
        <f>'Report Book'!CR37</f>
        <v>21.092777777777773</v>
      </c>
    </row>
    <row r="72" spans="1:5" hidden="1">
      <c r="A72" s="49" t="s">
        <v>26</v>
      </c>
      <c r="B72" s="38" t="s">
        <v>6</v>
      </c>
      <c r="C72" s="44">
        <f>'Report Book'!CS35</f>
        <v>170</v>
      </c>
      <c r="D72" s="44">
        <f>'Report Book'!CS36</f>
        <v>75</v>
      </c>
      <c r="E72" s="45">
        <f>'Report Book'!CS37</f>
        <v>116.83333333333333</v>
      </c>
    </row>
    <row r="73" spans="1:5" hidden="1">
      <c r="A73" s="49" t="s">
        <v>27</v>
      </c>
      <c r="B73" s="38" t="s">
        <v>0</v>
      </c>
      <c r="C73" s="40">
        <f>'Report Book'!CT35</f>
        <v>7.8966666666666656</v>
      </c>
      <c r="D73" s="40">
        <f>'Report Book'!CT36</f>
        <v>7.5200000000000005</v>
      </c>
      <c r="E73" s="41">
        <f>'Report Book'!CT37</f>
        <v>7.6741666666666672</v>
      </c>
    </row>
    <row r="74" spans="1:5" hidden="1">
      <c r="A74" s="49" t="s">
        <v>27</v>
      </c>
      <c r="B74" s="38" t="s">
        <v>1</v>
      </c>
      <c r="C74" s="44">
        <f>'Report Book'!CU35</f>
        <v>1779.3333333333333</v>
      </c>
      <c r="D74" s="44">
        <f>'Report Book'!CU36</f>
        <v>1341.5</v>
      </c>
      <c r="E74" s="45">
        <f>'Report Book'!CU37</f>
        <v>1535.5</v>
      </c>
    </row>
    <row r="75" spans="1:5" hidden="1">
      <c r="A75" s="49" t="s">
        <v>27</v>
      </c>
      <c r="B75" s="38" t="s">
        <v>2</v>
      </c>
      <c r="C75" s="44">
        <f>'Report Book'!CV35</f>
        <v>492.5</v>
      </c>
      <c r="D75" s="44">
        <f>'Report Book'!CV36</f>
        <v>392.66666666666669</v>
      </c>
      <c r="E75" s="45">
        <f>'Report Book'!CV37</f>
        <v>446.61111111111109</v>
      </c>
    </row>
    <row r="76" spans="1:5" hidden="1">
      <c r="A76" s="49" t="s">
        <v>27</v>
      </c>
      <c r="B76" s="38" t="s">
        <v>3</v>
      </c>
      <c r="C76" s="44">
        <f>'Report Book'!CW35</f>
        <v>42</v>
      </c>
      <c r="D76" s="44">
        <f>'Report Book'!CW36</f>
        <v>39</v>
      </c>
      <c r="E76" s="45">
        <f>'Report Book'!CW37</f>
        <v>40</v>
      </c>
    </row>
    <row r="77" spans="1:5">
      <c r="A77" s="49" t="s">
        <v>27</v>
      </c>
      <c r="B77" s="38" t="s">
        <v>12</v>
      </c>
      <c r="C77" s="44">
        <f>'Report Book'!CX35</f>
        <v>132</v>
      </c>
      <c r="D77" s="44">
        <f>'Report Book'!CX36</f>
        <v>40</v>
      </c>
      <c r="E77" s="45">
        <f>'Report Book'!CX37</f>
        <v>80</v>
      </c>
    </row>
    <row r="78" spans="1:5" hidden="1">
      <c r="A78" s="49" t="s">
        <v>27</v>
      </c>
      <c r="B78" s="38" t="s">
        <v>4</v>
      </c>
      <c r="C78" s="44">
        <f>'Report Book'!CY35</f>
        <v>166.66666666666666</v>
      </c>
      <c r="D78" s="44">
        <f>'Report Book'!CY36</f>
        <v>115.33333333333333</v>
      </c>
      <c r="E78" s="45">
        <f>'Report Book'!CY37</f>
        <v>132.16666666666666</v>
      </c>
    </row>
    <row r="79" spans="1:5" hidden="1">
      <c r="A79" s="49" t="s">
        <v>27</v>
      </c>
      <c r="B79" s="38" t="s">
        <v>7</v>
      </c>
      <c r="C79" s="44">
        <f>'Report Book'!CZ35</f>
        <v>34.049999999999997</v>
      </c>
      <c r="D79" s="44">
        <f>'Report Book'!CZ36</f>
        <v>4.7666666666666666</v>
      </c>
      <c r="E79" s="45">
        <f>'Report Book'!CZ37</f>
        <v>20.452777777777772</v>
      </c>
    </row>
    <row r="80" spans="1:5" hidden="1">
      <c r="A80" s="49" t="s">
        <v>28</v>
      </c>
      <c r="B80" s="38" t="s">
        <v>0</v>
      </c>
      <c r="C80" s="40">
        <f>'Report Book'!DX35</f>
        <v>7.95</v>
      </c>
      <c r="D80" s="40">
        <f>'Report Book'!DX36</f>
        <v>7.5250000000000004</v>
      </c>
      <c r="E80" s="41">
        <f>'Report Book'!DX37</f>
        <v>7.7441666666666658</v>
      </c>
    </row>
    <row r="81" spans="1:5" hidden="1">
      <c r="A81" s="49" t="s">
        <v>28</v>
      </c>
      <c r="B81" s="38" t="s">
        <v>1</v>
      </c>
      <c r="C81" s="44">
        <f>'Report Book'!DY35</f>
        <v>1639.6666666666667</v>
      </c>
      <c r="D81" s="44">
        <f>'Report Book'!DY36</f>
        <v>1380</v>
      </c>
      <c r="E81" s="45">
        <f>'Report Book'!DY37</f>
        <v>1501.6944444444446</v>
      </c>
    </row>
    <row r="82" spans="1:5" hidden="1">
      <c r="A82" s="49" t="s">
        <v>28</v>
      </c>
      <c r="B82" s="38" t="s">
        <v>2</v>
      </c>
      <c r="C82" s="44">
        <f>'Report Book'!DZ35</f>
        <v>466</v>
      </c>
      <c r="D82" s="44">
        <f>'Report Book'!DZ36</f>
        <v>392.66666666666669</v>
      </c>
      <c r="E82" s="45">
        <f>'Report Book'!DZ37</f>
        <v>434.33333333333326</v>
      </c>
    </row>
    <row r="83" spans="1:5" hidden="1">
      <c r="A83" s="49" t="s">
        <v>28</v>
      </c>
      <c r="B83" s="38" t="s">
        <v>3</v>
      </c>
      <c r="C83" s="44">
        <f>'Report Book'!EA35</f>
        <v>33</v>
      </c>
      <c r="D83" s="44">
        <f>'Report Book'!EA36</f>
        <v>24</v>
      </c>
      <c r="E83" s="45">
        <f>'Report Book'!EA37</f>
        <v>26.5</v>
      </c>
    </row>
    <row r="84" spans="1:5" hidden="1">
      <c r="A84" s="49" t="s">
        <v>28</v>
      </c>
      <c r="B84" s="38" t="s">
        <v>4</v>
      </c>
      <c r="C84" s="44">
        <f>'Report Book'!EB35</f>
        <v>164</v>
      </c>
      <c r="D84" s="44">
        <f>'Report Book'!EB36</f>
        <v>118</v>
      </c>
      <c r="E84" s="45">
        <f>'Report Book'!EB37</f>
        <v>129.58333333333334</v>
      </c>
    </row>
    <row r="85" spans="1:5">
      <c r="A85" s="49" t="s">
        <v>28</v>
      </c>
      <c r="B85" s="38" t="s">
        <v>12</v>
      </c>
      <c r="C85" s="44">
        <f>'Report Book'!EC35</f>
        <v>130</v>
      </c>
      <c r="D85" s="44">
        <f>'Report Book'!EC36</f>
        <v>39</v>
      </c>
      <c r="E85" s="45">
        <f>'Report Book'!EC37</f>
        <v>85.333333333333329</v>
      </c>
    </row>
    <row r="86" spans="1:5" hidden="1">
      <c r="A86" s="49" t="s">
        <v>28</v>
      </c>
      <c r="B86" s="38" t="s">
        <v>7</v>
      </c>
      <c r="C86" s="44">
        <f>'Report Book'!ED35</f>
        <v>29.9</v>
      </c>
      <c r="D86" s="44">
        <f>'Report Book'!ED36</f>
        <v>8.2000000000000011</v>
      </c>
      <c r="E86" s="45">
        <f>'Report Book'!ED37</f>
        <v>19.494444444444444</v>
      </c>
    </row>
    <row r="87" spans="1:5" hidden="1">
      <c r="A87" s="49" t="s">
        <v>28</v>
      </c>
      <c r="B87" s="38" t="s">
        <v>6</v>
      </c>
      <c r="C87" s="44">
        <f>'Report Book'!EE35</f>
        <v>165</v>
      </c>
      <c r="D87" s="44">
        <f>'Report Book'!EE36</f>
        <v>115</v>
      </c>
      <c r="E87" s="45">
        <f>'Report Book'!EE37</f>
        <v>135.91666666666666</v>
      </c>
    </row>
    <row r="88" spans="1:5" hidden="1">
      <c r="A88" s="49" t="s">
        <v>28</v>
      </c>
      <c r="B88" s="38" t="s">
        <v>37</v>
      </c>
      <c r="C88" s="44">
        <f>'Report Book'!EF35</f>
        <v>3015</v>
      </c>
      <c r="D88" s="44">
        <f>'Report Book'!EF36</f>
        <v>917.66666666666663</v>
      </c>
      <c r="E88" s="45">
        <f>'Report Book'!EF37</f>
        <v>2171.25</v>
      </c>
    </row>
    <row r="89" spans="1:5" hidden="1">
      <c r="A89" s="49" t="s">
        <v>29</v>
      </c>
      <c r="B89" s="38" t="s">
        <v>0</v>
      </c>
      <c r="C89" s="40">
        <f>'Report Book'!EG35</f>
        <v>8.1300000000000008</v>
      </c>
      <c r="D89" s="40">
        <f>'Report Book'!EG36</f>
        <v>5.41</v>
      </c>
      <c r="E89" s="41">
        <f>'Report Book'!EG37</f>
        <v>7.0133333333333345</v>
      </c>
    </row>
    <row r="90" spans="1:5" hidden="1">
      <c r="A90" s="49" t="s">
        <v>29</v>
      </c>
      <c r="B90" s="38" t="s">
        <v>1</v>
      </c>
      <c r="C90" s="44">
        <f>'Report Book'!EH35</f>
        <v>1745.6666666666667</v>
      </c>
      <c r="D90" s="44">
        <f>'Report Book'!EH36</f>
        <v>1395</v>
      </c>
      <c r="E90" s="45">
        <f>'Report Book'!EH37</f>
        <v>1529.5</v>
      </c>
    </row>
    <row r="91" spans="1:5" hidden="1">
      <c r="A91" s="49" t="s">
        <v>29</v>
      </c>
      <c r="B91" s="38" t="s">
        <v>2</v>
      </c>
      <c r="C91" s="44">
        <f>'Report Book'!EI35</f>
        <v>449</v>
      </c>
      <c r="D91" s="44">
        <f>'Report Book'!EI36</f>
        <v>372.66666666666669</v>
      </c>
      <c r="E91" s="45">
        <f>'Report Book'!EI37</f>
        <v>412.22222222222217</v>
      </c>
    </row>
    <row r="92" spans="1:5" hidden="1">
      <c r="A92" s="49" t="s">
        <v>29</v>
      </c>
      <c r="B92" s="38" t="s">
        <v>3</v>
      </c>
      <c r="C92" s="44">
        <f>'Report Book'!EJ35</f>
        <v>27</v>
      </c>
      <c r="D92" s="44">
        <f>'Report Book'!EJ36</f>
        <v>27</v>
      </c>
      <c r="E92" s="45">
        <f>'Report Book'!EJ37</f>
        <v>27</v>
      </c>
    </row>
    <row r="93" spans="1:5" hidden="1">
      <c r="A93" s="49" t="s">
        <v>29</v>
      </c>
      <c r="B93" s="38" t="s">
        <v>4</v>
      </c>
      <c r="C93" s="44">
        <f>'Report Book'!EK35</f>
        <v>150</v>
      </c>
      <c r="D93" s="44">
        <f>'Report Book'!EK36</f>
        <v>111.33333333333333</v>
      </c>
      <c r="E93" s="45">
        <f>'Report Book'!EK37</f>
        <v>121.11111111111113</v>
      </c>
    </row>
    <row r="94" spans="1:5">
      <c r="A94" s="49" t="s">
        <v>29</v>
      </c>
      <c r="B94" s="38" t="s">
        <v>12</v>
      </c>
      <c r="C94" s="40">
        <f>'Report Book'!EL35</f>
        <v>10</v>
      </c>
      <c r="D94" s="40">
        <f>'Report Book'!EL36</f>
        <v>3</v>
      </c>
      <c r="E94" s="41">
        <f>'Report Book'!EL37</f>
        <v>4.5999999999999996</v>
      </c>
    </row>
    <row r="95" spans="1:5" hidden="1">
      <c r="A95" s="49" t="s">
        <v>29</v>
      </c>
      <c r="B95" s="38" t="s">
        <v>7</v>
      </c>
      <c r="C95" s="40">
        <f>'Report Book'!EM35</f>
        <v>1.5649999999999999</v>
      </c>
      <c r="D95" s="40">
        <f>'Report Book'!EM36</f>
        <v>0.65</v>
      </c>
      <c r="E95" s="41">
        <f>'Report Book'!EM37</f>
        <v>1.1719444444444445</v>
      </c>
    </row>
    <row r="96" spans="1:5" hidden="1">
      <c r="A96" s="49" t="s">
        <v>29</v>
      </c>
      <c r="B96" s="38" t="s">
        <v>6</v>
      </c>
      <c r="C96" s="44">
        <f>'Report Book'!EN35</f>
        <v>153.33333333333334</v>
      </c>
      <c r="D96" s="44">
        <f>'Report Book'!EN36</f>
        <v>100</v>
      </c>
      <c r="E96" s="45">
        <f>'Report Book'!EN37</f>
        <v>117.72222222222223</v>
      </c>
    </row>
    <row r="97" spans="1:5" hidden="1">
      <c r="A97" s="49" t="s">
        <v>29</v>
      </c>
      <c r="B97" s="38" t="s">
        <v>37</v>
      </c>
      <c r="C97" s="44">
        <f>'Report Book'!EO35</f>
        <v>540</v>
      </c>
      <c r="D97" s="44">
        <f>'Report Book'!EO36</f>
        <v>298</v>
      </c>
      <c r="E97" s="45">
        <f>'Report Book'!EO37</f>
        <v>392.5555555555556</v>
      </c>
    </row>
    <row r="98" spans="1:5" hidden="1">
      <c r="A98" s="49" t="s">
        <v>30</v>
      </c>
      <c r="B98" s="38" t="s">
        <v>0</v>
      </c>
      <c r="C98" s="40">
        <f>'Report Book'!EP35</f>
        <v>7.7899999999999991</v>
      </c>
      <c r="D98" s="40">
        <f>'Report Book'!EP36</f>
        <v>4.88</v>
      </c>
      <c r="E98" s="41">
        <f>'Report Book'!EP37</f>
        <v>6.38</v>
      </c>
    </row>
    <row r="99" spans="1:5" hidden="1">
      <c r="A99" s="49" t="s">
        <v>30</v>
      </c>
      <c r="B99" s="38" t="s">
        <v>1</v>
      </c>
      <c r="C99" s="44">
        <f>'Report Book'!EQ35</f>
        <v>1666</v>
      </c>
      <c r="D99" s="44">
        <f>'Report Book'!EQ36</f>
        <v>1369</v>
      </c>
      <c r="E99" s="45">
        <f>'Report Book'!EQ37</f>
        <v>1523.1666666666667</v>
      </c>
    </row>
    <row r="100" spans="1:5" hidden="1">
      <c r="A100" s="49" t="s">
        <v>30</v>
      </c>
      <c r="B100" s="38" t="s">
        <v>2</v>
      </c>
      <c r="C100" s="44">
        <f>'Report Book'!ER35</f>
        <v>433</v>
      </c>
      <c r="D100" s="44">
        <f>'Report Book'!ER36</f>
        <v>366.66666666666669</v>
      </c>
      <c r="E100" s="45">
        <f>'Report Book'!ER37</f>
        <v>401.22222222222223</v>
      </c>
    </row>
    <row r="101" spans="1:5" hidden="1">
      <c r="A101" s="49" t="s">
        <v>30</v>
      </c>
      <c r="B101" s="38" t="s">
        <v>4</v>
      </c>
      <c r="C101" s="44">
        <f>'Report Book'!ES35</f>
        <v>148.66666666666666</v>
      </c>
      <c r="D101" s="44">
        <f>'Report Book'!ES36</f>
        <v>109</v>
      </c>
      <c r="E101" s="45">
        <f>'Report Book'!ES37</f>
        <v>117.83333333333333</v>
      </c>
    </row>
    <row r="102" spans="1:5">
      <c r="A102" s="49" t="s">
        <v>30</v>
      </c>
      <c r="B102" s="38" t="s">
        <v>12</v>
      </c>
      <c r="C102" s="44">
        <f>'Report Book'!ET35</f>
        <v>8</v>
      </c>
      <c r="D102" s="44">
        <f>'Report Book'!ET36</f>
        <v>2</v>
      </c>
      <c r="E102" s="45">
        <f>'Report Book'!ET37</f>
        <v>5.6</v>
      </c>
    </row>
    <row r="103" spans="1:5" hidden="1">
      <c r="A103" s="49" t="s">
        <v>30</v>
      </c>
      <c r="B103" s="38" t="s">
        <v>6</v>
      </c>
      <c r="C103" s="44">
        <f>'Report Book'!EU35</f>
        <v>151.66666666666666</v>
      </c>
      <c r="D103" s="44">
        <f>'Report Book'!EU36</f>
        <v>80</v>
      </c>
      <c r="E103" s="45">
        <f>'Report Book'!EU37</f>
        <v>110.16666666666667</v>
      </c>
    </row>
    <row r="104" spans="1:5" hidden="1">
      <c r="A104" s="49" t="s">
        <v>30</v>
      </c>
      <c r="B104" s="38" t="s">
        <v>37</v>
      </c>
      <c r="C104" s="44">
        <f>'Report Book'!EV35</f>
        <v>569.66666666666663</v>
      </c>
      <c r="D104" s="44">
        <f>'Report Book'!EV36</f>
        <v>30</v>
      </c>
      <c r="E104" s="45">
        <f>'Report Book'!EV37</f>
        <v>274.38888888888886</v>
      </c>
    </row>
    <row r="105" spans="1:5" hidden="1">
      <c r="A105" s="49" t="s">
        <v>31</v>
      </c>
      <c r="B105" s="38" t="s">
        <v>0</v>
      </c>
      <c r="C105" s="40">
        <f>'Report Book'!EW35</f>
        <v>6.919999999999999</v>
      </c>
      <c r="D105" s="40">
        <f>'Report Book'!EW36</f>
        <v>4.21</v>
      </c>
      <c r="E105" s="41">
        <f>'Report Book'!EW37</f>
        <v>5.8166666666666664</v>
      </c>
    </row>
    <row r="106" spans="1:5" hidden="1">
      <c r="A106" s="49" t="s">
        <v>31</v>
      </c>
      <c r="B106" s="38" t="s">
        <v>1</v>
      </c>
      <c r="C106" s="44">
        <f>'Report Book'!EX35</f>
        <v>74.239999999999995</v>
      </c>
      <c r="D106" s="44">
        <f>'Report Book'!EX36</f>
        <v>62.986666666666657</v>
      </c>
      <c r="E106" s="45">
        <f>'Report Book'!EX37</f>
        <v>70.72</v>
      </c>
    </row>
    <row r="107" spans="1:5" hidden="1">
      <c r="A107" s="49" t="s">
        <v>31</v>
      </c>
      <c r="B107" s="38" t="s">
        <v>2</v>
      </c>
      <c r="C107" s="44">
        <f>'Report Book'!EY35</f>
        <v>20</v>
      </c>
      <c r="D107" s="44">
        <f>'Report Book'!EY36</f>
        <v>4</v>
      </c>
      <c r="E107" s="45">
        <f>'Report Book'!EY37</f>
        <v>15.555555555555557</v>
      </c>
    </row>
    <row r="108" spans="1:5" hidden="1">
      <c r="A108" s="49" t="s">
        <v>31</v>
      </c>
      <c r="B108" s="38" t="s">
        <v>3</v>
      </c>
      <c r="C108" s="44">
        <f>'Report Book'!EZ35</f>
        <v>4</v>
      </c>
      <c r="D108" s="44">
        <f>'Report Book'!EZ36</f>
        <v>2</v>
      </c>
      <c r="E108" s="45">
        <f>'Report Book'!EZ37</f>
        <v>2.6</v>
      </c>
    </row>
    <row r="109" spans="1:5" hidden="1">
      <c r="A109" s="49" t="s">
        <v>31</v>
      </c>
      <c r="B109" s="38" t="s">
        <v>4</v>
      </c>
      <c r="C109" s="44">
        <f>'Report Book'!FA35</f>
        <v>7</v>
      </c>
      <c r="D109" s="44">
        <f>'Report Book'!FA36</f>
        <v>4.333333333333333</v>
      </c>
      <c r="E109" s="45">
        <f>'Report Book'!FA37</f>
        <v>5.4444444444444438</v>
      </c>
    </row>
    <row r="110" spans="1:5">
      <c r="A110" s="49" t="s">
        <v>31</v>
      </c>
      <c r="B110" s="38" t="s">
        <v>12</v>
      </c>
      <c r="C110" s="44">
        <f>'Report Book'!FB35</f>
        <v>2</v>
      </c>
      <c r="D110" s="44">
        <f>'Report Book'!FB36</f>
        <v>2</v>
      </c>
      <c r="E110" s="45">
        <f>'Report Book'!FB37</f>
        <v>2</v>
      </c>
    </row>
    <row r="111" spans="1:5" hidden="1">
      <c r="A111" s="49" t="s">
        <v>31</v>
      </c>
      <c r="B111" s="38" t="s">
        <v>6</v>
      </c>
      <c r="C111" s="44">
        <f>'Report Book'!FC35</f>
        <v>8</v>
      </c>
      <c r="D111" s="44">
        <f>'Report Book'!FC36</f>
        <v>4</v>
      </c>
      <c r="E111" s="45">
        <f>'Report Book'!FC37</f>
        <v>6.0555555555555562</v>
      </c>
    </row>
    <row r="112" spans="1:5" hidden="1">
      <c r="A112" s="49" t="s">
        <v>31</v>
      </c>
      <c r="B112" s="38" t="s">
        <v>37</v>
      </c>
      <c r="C112" s="44">
        <f>'Report Book'!FD35</f>
        <v>11.49</v>
      </c>
      <c r="D112" s="44">
        <f>'Report Book'!FD36</f>
        <v>6.3846666666666669</v>
      </c>
      <c r="E112" s="45">
        <f>'Report Book'!FD37</f>
        <v>10.128111111111112</v>
      </c>
    </row>
    <row r="113" spans="1:5" hidden="1">
      <c r="A113" s="49" t="s">
        <v>129</v>
      </c>
      <c r="B113" s="38" t="s">
        <v>0</v>
      </c>
      <c r="C113" s="40">
        <f>'Report Book'!FE35</f>
        <v>7.26</v>
      </c>
      <c r="D113" s="40">
        <f>'Report Book'!FE36</f>
        <v>5.17</v>
      </c>
      <c r="E113" s="41">
        <f>'Report Book'!FE37</f>
        <v>6.4322222222222223</v>
      </c>
    </row>
    <row r="114" spans="1:5" hidden="1">
      <c r="A114" s="49" t="s">
        <v>129</v>
      </c>
      <c r="B114" s="38" t="s">
        <v>1</v>
      </c>
      <c r="C114" s="44">
        <f>'Report Book'!FF35</f>
        <v>6268.333333333333</v>
      </c>
      <c r="D114" s="44">
        <f>'Report Book'!FF36</f>
        <v>4236</v>
      </c>
      <c r="E114" s="45">
        <f>'Report Book'!FF37</f>
        <v>5548.7222222222217</v>
      </c>
    </row>
    <row r="115" spans="1:5" hidden="1">
      <c r="A115" s="49" t="s">
        <v>129</v>
      </c>
      <c r="B115" s="38" t="s">
        <v>2</v>
      </c>
      <c r="C115" s="44">
        <f>'Report Book'!FG35</f>
        <v>1713</v>
      </c>
      <c r="D115" s="44">
        <f>'Report Book'!FG36</f>
        <v>1280.6666666666667</v>
      </c>
      <c r="E115" s="45">
        <f>'Report Book'!FG37</f>
        <v>1504.2222222222224</v>
      </c>
    </row>
    <row r="116" spans="1:5" hidden="1">
      <c r="A116" s="49" t="s">
        <v>129</v>
      </c>
      <c r="B116" s="38" t="s">
        <v>4</v>
      </c>
      <c r="C116" s="44">
        <f>'Report Book'!FH35</f>
        <v>509</v>
      </c>
      <c r="D116" s="44">
        <f>'Report Book'!FH36</f>
        <v>174</v>
      </c>
      <c r="E116" s="45">
        <f>'Report Book'!FH37</f>
        <v>344.77777777777777</v>
      </c>
    </row>
    <row r="117" spans="1:5">
      <c r="A117" s="49" t="s">
        <v>129</v>
      </c>
      <c r="B117" s="38" t="s">
        <v>12</v>
      </c>
      <c r="C117" s="44">
        <f>'Report Book'!FI35</f>
        <v>18</v>
      </c>
      <c r="D117" s="44">
        <f>'Report Book'!FI36</f>
        <v>8</v>
      </c>
      <c r="E117" s="45">
        <f>'Report Book'!FI37</f>
        <v>13.166666666666666</v>
      </c>
    </row>
    <row r="118" spans="1:5" hidden="1">
      <c r="A118" s="49" t="s">
        <v>129</v>
      </c>
      <c r="B118" s="38" t="s">
        <v>6</v>
      </c>
      <c r="C118" s="44">
        <f>'Report Book'!FJ35</f>
        <v>460.33333333333331</v>
      </c>
      <c r="D118" s="44">
        <f>'Report Book'!FJ36</f>
        <v>250</v>
      </c>
      <c r="E118" s="45">
        <f>'Report Book'!FJ37</f>
        <v>355.77777777777777</v>
      </c>
    </row>
    <row r="119" spans="1:5" hidden="1">
      <c r="A119" s="49" t="s">
        <v>129</v>
      </c>
      <c r="B119" s="38" t="s">
        <v>7</v>
      </c>
      <c r="C119" s="40">
        <f>'Report Book'!FK35</f>
        <v>9.3533333333333335</v>
      </c>
      <c r="D119" s="40">
        <f>'Report Book'!FK36</f>
        <v>0.85666666666666658</v>
      </c>
      <c r="E119" s="41">
        <f>'Report Book'!FK37</f>
        <v>3.1616666666666666</v>
      </c>
    </row>
    <row r="120" spans="1:5" hidden="1">
      <c r="A120" s="49" t="s">
        <v>129</v>
      </c>
      <c r="B120" s="38" t="s">
        <v>37</v>
      </c>
      <c r="C120" s="44">
        <f>'Report Book'!FL35</f>
        <v>1840</v>
      </c>
      <c r="D120" s="44">
        <f>'Report Book'!FL36</f>
        <v>562.66666666666663</v>
      </c>
      <c r="E120" s="45">
        <f>'Report Book'!FL37</f>
        <v>1288.8888888888889</v>
      </c>
    </row>
    <row r="121" spans="1:5" hidden="1">
      <c r="A121" s="49" t="s">
        <v>130</v>
      </c>
      <c r="B121" s="38" t="s">
        <v>0</v>
      </c>
      <c r="C121" s="40">
        <f>'Report Book'!HB35</f>
        <v>7.5749999999999993</v>
      </c>
      <c r="D121" s="40">
        <f>'Report Book'!HB36</f>
        <v>7.4649999999999999</v>
      </c>
      <c r="E121" s="41">
        <f>'Report Book'!HB37</f>
        <v>7.52</v>
      </c>
    </row>
    <row r="122" spans="1:5" hidden="1">
      <c r="A122" s="49" t="s">
        <v>130</v>
      </c>
      <c r="B122" s="38" t="s">
        <v>1</v>
      </c>
      <c r="C122" s="44">
        <f>'Report Book'!HC35</f>
        <v>5709.5</v>
      </c>
      <c r="D122" s="44">
        <f>'Report Book'!HC36</f>
        <v>5021.5</v>
      </c>
      <c r="E122" s="45">
        <f>'Report Book'!HC37</f>
        <v>5365.5</v>
      </c>
    </row>
    <row r="123" spans="1:5" hidden="1">
      <c r="A123" s="49" t="s">
        <v>130</v>
      </c>
      <c r="B123" s="38" t="s">
        <v>2</v>
      </c>
      <c r="C123" s="44">
        <f>'Report Book'!HD35</f>
        <v>1503</v>
      </c>
      <c r="D123" s="44">
        <f>'Report Book'!HD36</f>
        <v>1186.5</v>
      </c>
      <c r="E123" s="45">
        <f>'Report Book'!HD37</f>
        <v>1344.75</v>
      </c>
    </row>
    <row r="124" spans="1:5" hidden="1">
      <c r="A124" s="49" t="s">
        <v>130</v>
      </c>
      <c r="B124" s="38" t="s">
        <v>4</v>
      </c>
      <c r="C124" s="44">
        <f>'Report Book'!HE35</f>
        <v>556.5</v>
      </c>
      <c r="D124" s="44">
        <f>'Report Book'!HE36</f>
        <v>396</v>
      </c>
      <c r="E124" s="45">
        <f>'Report Book'!HE37</f>
        <v>476.25</v>
      </c>
    </row>
    <row r="125" spans="1:5">
      <c r="A125" s="49" t="s">
        <v>130</v>
      </c>
      <c r="B125" s="38" t="s">
        <v>12</v>
      </c>
      <c r="C125" s="44">
        <f>'Report Book'!HF35</f>
        <v>22</v>
      </c>
      <c r="D125" s="44">
        <f>'Report Book'!HF36</f>
        <v>22</v>
      </c>
      <c r="E125" s="45">
        <f>'Report Book'!HF37</f>
        <v>22</v>
      </c>
    </row>
    <row r="126" spans="1:5" hidden="1">
      <c r="A126" s="49" t="s">
        <v>130</v>
      </c>
      <c r="B126" s="38" t="s">
        <v>6</v>
      </c>
      <c r="C126" s="44">
        <f>'Report Book'!HG35</f>
        <v>480</v>
      </c>
      <c r="D126" s="44">
        <f>'Report Book'!HG36</f>
        <v>375.5</v>
      </c>
      <c r="E126" s="45">
        <f>'Report Book'!HG37</f>
        <v>427.75</v>
      </c>
    </row>
    <row r="127" spans="1:5" hidden="1">
      <c r="A127" s="49" t="s">
        <v>130</v>
      </c>
      <c r="B127" s="38" t="s">
        <v>37</v>
      </c>
      <c r="C127" s="44">
        <f>'Report Book'!HH35</f>
        <v>2033</v>
      </c>
      <c r="D127" s="44">
        <f>'Report Book'!HH36</f>
        <v>527</v>
      </c>
      <c r="E127" s="45">
        <f>'Report Book'!HH37</f>
        <v>1280</v>
      </c>
    </row>
    <row r="128" spans="1:5" hidden="1">
      <c r="A128" s="49" t="s">
        <v>131</v>
      </c>
      <c r="B128" s="38" t="s">
        <v>0</v>
      </c>
      <c r="C128" s="40">
        <f>'Report Book'!HI35</f>
        <v>7.6550000000000002</v>
      </c>
      <c r="D128" s="40">
        <f>'Report Book'!HI36</f>
        <v>7.0350000000000001</v>
      </c>
      <c r="E128" s="41">
        <f>'Report Book'!HI37</f>
        <v>7.3450000000000006</v>
      </c>
    </row>
    <row r="129" spans="1:5" hidden="1">
      <c r="A129" s="49" t="s">
        <v>131</v>
      </c>
      <c r="B129" s="38" t="s">
        <v>1</v>
      </c>
      <c r="C129" s="44">
        <f>'Report Book'!HJ35</f>
        <v>1845.5</v>
      </c>
      <c r="D129" s="44">
        <f>'Report Book'!HJ36</f>
        <v>1464</v>
      </c>
      <c r="E129" s="45">
        <f>'Report Book'!HJ37</f>
        <v>1654.75</v>
      </c>
    </row>
    <row r="130" spans="1:5" hidden="1">
      <c r="A130" s="49" t="s">
        <v>131</v>
      </c>
      <c r="B130" s="38" t="s">
        <v>2</v>
      </c>
      <c r="C130" s="44">
        <f>'Report Book'!HK35</f>
        <v>289</v>
      </c>
      <c r="D130" s="44">
        <f>'Report Book'!HK36</f>
        <v>124</v>
      </c>
      <c r="E130" s="45">
        <f>'Report Book'!HK37</f>
        <v>206.5</v>
      </c>
    </row>
    <row r="131" spans="1:5" hidden="1">
      <c r="A131" s="49" t="s">
        <v>131</v>
      </c>
      <c r="B131" s="38" t="s">
        <v>3</v>
      </c>
      <c r="C131" s="44">
        <f>'Report Book'!HL35</f>
        <v>2</v>
      </c>
      <c r="D131" s="44">
        <f>'Report Book'!HL36</f>
        <v>2</v>
      </c>
      <c r="E131" s="45">
        <f>'Report Book'!HL37</f>
        <v>2</v>
      </c>
    </row>
    <row r="132" spans="1:5" hidden="1">
      <c r="A132" s="49" t="s">
        <v>131</v>
      </c>
      <c r="B132" s="38" t="s">
        <v>4</v>
      </c>
      <c r="C132" s="44">
        <f>'Report Book'!HM35</f>
        <v>139</v>
      </c>
      <c r="D132" s="44">
        <f>'Report Book'!HM36</f>
        <v>44.5</v>
      </c>
      <c r="E132" s="45">
        <f>'Report Book'!HM37</f>
        <v>91.75</v>
      </c>
    </row>
    <row r="133" spans="1:5">
      <c r="A133" s="49" t="s">
        <v>131</v>
      </c>
      <c r="B133" s="38" t="s">
        <v>12</v>
      </c>
      <c r="C133" s="44">
        <f>'Report Book'!HN35</f>
        <v>2</v>
      </c>
      <c r="D133" s="44">
        <f>'Report Book'!HN36</f>
        <v>2</v>
      </c>
      <c r="E133" s="45">
        <f>'Report Book'!HN37</f>
        <v>2</v>
      </c>
    </row>
    <row r="134" spans="1:5" hidden="1">
      <c r="A134" s="49" t="s">
        <v>131</v>
      </c>
      <c r="B134" s="38" t="s">
        <v>6</v>
      </c>
      <c r="C134" s="44">
        <f>'Report Book'!HO35</f>
        <v>69</v>
      </c>
      <c r="D134" s="44">
        <f>'Report Book'!HO36</f>
        <v>42</v>
      </c>
      <c r="E134" s="45">
        <f>'Report Book'!HO37</f>
        <v>55.5</v>
      </c>
    </row>
    <row r="135" spans="1:5" hidden="1">
      <c r="A135" s="49" t="s">
        <v>131</v>
      </c>
      <c r="B135" s="38" t="s">
        <v>37</v>
      </c>
      <c r="C135" s="44">
        <f>'Report Book'!HP35</f>
        <v>455</v>
      </c>
      <c r="D135" s="44">
        <f>'Report Book'!HP36</f>
        <v>142</v>
      </c>
      <c r="E135" s="45">
        <f>'Report Book'!HP37</f>
        <v>298.5</v>
      </c>
    </row>
    <row r="136" spans="1:5" hidden="1">
      <c r="A136" s="49" t="s">
        <v>132</v>
      </c>
      <c r="B136" s="38" t="s">
        <v>0</v>
      </c>
      <c r="C136" s="40">
        <f>'Report Book'!HQ35</f>
        <v>7.41</v>
      </c>
      <c r="D136" s="40">
        <f>'Report Book'!HQ36</f>
        <v>6.9450000000000003</v>
      </c>
      <c r="E136" s="41">
        <f>'Report Book'!HQ37</f>
        <v>7.1775000000000002</v>
      </c>
    </row>
    <row r="137" spans="1:5" hidden="1">
      <c r="A137" s="49" t="s">
        <v>132</v>
      </c>
      <c r="B137" s="38" t="s">
        <v>1</v>
      </c>
      <c r="C137" s="44">
        <f>'Report Book'!HR35</f>
        <v>9701</v>
      </c>
      <c r="D137" s="44">
        <f>'Report Book'!HR36</f>
        <v>9449.5</v>
      </c>
      <c r="E137" s="45">
        <f>'Report Book'!HR37</f>
        <v>9575.25</v>
      </c>
    </row>
    <row r="138" spans="1:5" hidden="1">
      <c r="A138" s="49" t="s">
        <v>132</v>
      </c>
      <c r="B138" s="38" t="s">
        <v>2</v>
      </c>
      <c r="C138" s="44">
        <f>'Report Book'!HS35</f>
        <v>2436.5</v>
      </c>
      <c r="D138" s="44">
        <f>'Report Book'!HS36</f>
        <v>1591.5</v>
      </c>
      <c r="E138" s="45">
        <f>'Report Book'!HS37</f>
        <v>2014</v>
      </c>
    </row>
    <row r="139" spans="1:5" hidden="1">
      <c r="A139" s="49" t="s">
        <v>132</v>
      </c>
      <c r="B139" s="38" t="s">
        <v>4</v>
      </c>
      <c r="C139" s="44">
        <f>'Report Book'!HT35</f>
        <v>864</v>
      </c>
      <c r="D139" s="44">
        <f>'Report Book'!HT36</f>
        <v>602</v>
      </c>
      <c r="E139" s="45">
        <f>'Report Book'!HT37</f>
        <v>733</v>
      </c>
    </row>
    <row r="140" spans="1:5">
      <c r="A140" s="49" t="s">
        <v>132</v>
      </c>
      <c r="B140" s="38" t="s">
        <v>12</v>
      </c>
      <c r="C140" s="44">
        <f>'Report Book'!HU35</f>
        <v>36</v>
      </c>
      <c r="D140" s="44">
        <f>'Report Book'!HU36</f>
        <v>24</v>
      </c>
      <c r="E140" s="45">
        <f>'Report Book'!HU37</f>
        <v>30</v>
      </c>
    </row>
    <row r="141" spans="1:5" hidden="1">
      <c r="A141" s="49" t="s">
        <v>132</v>
      </c>
      <c r="B141" s="38" t="s">
        <v>6</v>
      </c>
      <c r="C141" s="44">
        <f>'Report Book'!HV35</f>
        <v>1295</v>
      </c>
      <c r="D141" s="44">
        <f>'Report Book'!HV36</f>
        <v>570.5</v>
      </c>
      <c r="E141" s="45">
        <f>'Report Book'!HV37</f>
        <v>932.75</v>
      </c>
    </row>
    <row r="142" spans="1:5" hidden="1">
      <c r="A142" s="49" t="s">
        <v>132</v>
      </c>
      <c r="B142" s="38" t="s">
        <v>7</v>
      </c>
      <c r="C142" s="40">
        <f>'Report Book'!HW35</f>
        <v>0</v>
      </c>
      <c r="D142" s="40">
        <f>'Report Book'!HW36</f>
        <v>0</v>
      </c>
      <c r="E142" s="41" t="e">
        <f>'Report Book'!HW37</f>
        <v>#DIV/0!</v>
      </c>
    </row>
    <row r="143" spans="1:5" hidden="1">
      <c r="A143" s="49" t="s">
        <v>132</v>
      </c>
      <c r="B143" s="38" t="s">
        <v>37</v>
      </c>
      <c r="C143" s="44">
        <f>'Report Book'!HX35</f>
        <v>1574</v>
      </c>
      <c r="D143" s="44">
        <f>'Report Book'!HX36</f>
        <v>885</v>
      </c>
      <c r="E143" s="45">
        <f>'Report Book'!HX37</f>
        <v>1229.5</v>
      </c>
    </row>
    <row r="144" spans="1:5" hidden="1">
      <c r="A144" s="49" t="s">
        <v>32</v>
      </c>
      <c r="B144" s="38" t="s">
        <v>0</v>
      </c>
      <c r="C144" s="40">
        <f>'Report Book'!HY35</f>
        <v>7.17</v>
      </c>
      <c r="D144" s="40">
        <f>'Report Book'!HY36</f>
        <v>5.64</v>
      </c>
      <c r="E144" s="41">
        <f>'Report Book'!HY37</f>
        <v>6.5811111111111122</v>
      </c>
    </row>
    <row r="145" spans="1:5" hidden="1">
      <c r="A145" s="49" t="s">
        <v>32</v>
      </c>
      <c r="B145" s="38" t="s">
        <v>1</v>
      </c>
      <c r="C145" s="44">
        <f>'Report Book'!HZ35</f>
        <v>5645.666666666667</v>
      </c>
      <c r="D145" s="44">
        <f>'Report Book'!IG36</f>
        <v>495.56666666666666</v>
      </c>
      <c r="E145" s="45">
        <f>'Report Book'!IG37</f>
        <v>1028.8611111111111</v>
      </c>
    </row>
    <row r="146" spans="1:5" hidden="1">
      <c r="A146" s="49" t="s">
        <v>32</v>
      </c>
      <c r="B146" s="38" t="s">
        <v>2</v>
      </c>
      <c r="C146" s="44">
        <f>'Report Book'!IA35</f>
        <v>1672</v>
      </c>
      <c r="D146" s="44">
        <f>'Report Book'!IA36</f>
        <v>1128</v>
      </c>
      <c r="E146" s="45">
        <f>'Report Book'!IA37</f>
        <v>1491.0555555555554</v>
      </c>
    </row>
    <row r="147" spans="1:5" hidden="1">
      <c r="A147" s="49" t="s">
        <v>32</v>
      </c>
      <c r="B147" s="38" t="s">
        <v>4</v>
      </c>
      <c r="C147" s="44">
        <f>'Report Book'!IB35</f>
        <v>502</v>
      </c>
      <c r="D147" s="44">
        <f>'Report Book'!IB36</f>
        <v>167</v>
      </c>
      <c r="E147" s="45">
        <f>'Report Book'!IB37</f>
        <v>304.05555555555554</v>
      </c>
    </row>
    <row r="148" spans="1:5">
      <c r="A148" s="49" t="s">
        <v>32</v>
      </c>
      <c r="B148" s="38" t="s">
        <v>12</v>
      </c>
      <c r="C148" s="44">
        <f>'Report Book'!IC35</f>
        <v>18</v>
      </c>
      <c r="D148" s="44">
        <f>'Report Book'!IC36</f>
        <v>2</v>
      </c>
      <c r="E148" s="45">
        <f>'Report Book'!IC37</f>
        <v>13.6</v>
      </c>
    </row>
    <row r="149" spans="1:5" hidden="1">
      <c r="A149" s="49" t="s">
        <v>32</v>
      </c>
      <c r="B149" s="38" t="s">
        <v>6</v>
      </c>
      <c r="C149" s="44">
        <f>'Report Book'!ID35</f>
        <v>427</v>
      </c>
      <c r="D149" s="44">
        <f>'Report Book'!ID36</f>
        <v>265</v>
      </c>
      <c r="E149" s="45">
        <f>'Report Book'!ID37</f>
        <v>345</v>
      </c>
    </row>
    <row r="150" spans="1:5" hidden="1">
      <c r="A150" s="49" t="s">
        <v>32</v>
      </c>
      <c r="B150" s="38" t="s">
        <v>37</v>
      </c>
      <c r="C150" s="44">
        <f>'Report Book'!IE35</f>
        <v>1328.6666666666667</v>
      </c>
      <c r="D150" s="44">
        <f>'Report Book'!IE36</f>
        <v>526</v>
      </c>
      <c r="E150" s="45">
        <f>'Report Book'!IE37</f>
        <v>801.77777777777783</v>
      </c>
    </row>
    <row r="151" spans="1:5" hidden="1">
      <c r="A151" s="49" t="s">
        <v>33</v>
      </c>
      <c r="B151" s="38" t="s">
        <v>0</v>
      </c>
      <c r="C151" s="40">
        <f>'Report Book'!IF35</f>
        <v>8.6033333333333335</v>
      </c>
      <c r="D151" s="40">
        <f>'Report Book'!IF36</f>
        <v>5.44</v>
      </c>
      <c r="E151" s="41">
        <f>'Report Book'!IF37</f>
        <v>6.860555555555556</v>
      </c>
    </row>
    <row r="152" spans="1:5" hidden="1">
      <c r="A152" s="49" t="s">
        <v>33</v>
      </c>
      <c r="B152" s="38" t="s">
        <v>1</v>
      </c>
      <c r="C152" s="44">
        <f>'Report Book'!IG35</f>
        <v>1448</v>
      </c>
      <c r="D152" s="44">
        <f>'Report Book'!IG36</f>
        <v>495.56666666666666</v>
      </c>
      <c r="E152" s="45">
        <f>'Report Book'!IG37</f>
        <v>1028.8611111111111</v>
      </c>
    </row>
    <row r="153" spans="1:5" hidden="1">
      <c r="A153" s="49" t="s">
        <v>33</v>
      </c>
      <c r="B153" s="38" t="s">
        <v>2</v>
      </c>
      <c r="C153" s="44">
        <f>'Report Book'!IH35</f>
        <v>228</v>
      </c>
      <c r="D153" s="44">
        <f>'Report Book'!IH36</f>
        <v>67.666666666666671</v>
      </c>
      <c r="E153" s="45">
        <f>'Report Book'!IH37</f>
        <v>126.6111111111111</v>
      </c>
    </row>
    <row r="154" spans="1:5" hidden="1">
      <c r="A154" s="49" t="s">
        <v>33</v>
      </c>
      <c r="B154" s="38" t="s">
        <v>3</v>
      </c>
      <c r="C154" s="44">
        <f>'Report Book'!II35</f>
        <v>2</v>
      </c>
      <c r="D154" s="44">
        <f>'Report Book'!II36</f>
        <v>2</v>
      </c>
      <c r="E154" s="45">
        <f>'Report Book'!II37</f>
        <v>2</v>
      </c>
    </row>
    <row r="155" spans="1:5" hidden="1">
      <c r="A155" s="49" t="s">
        <v>33</v>
      </c>
      <c r="B155" s="38" t="s">
        <v>4</v>
      </c>
      <c r="C155" s="44">
        <f>'Report Book'!IJ35</f>
        <v>93</v>
      </c>
      <c r="D155" s="44">
        <f>'Report Book'!IJ36</f>
        <v>25</v>
      </c>
      <c r="E155" s="45">
        <f>'Report Book'!IJ37</f>
        <v>48.388888888888893</v>
      </c>
    </row>
    <row r="156" spans="1:5">
      <c r="A156" s="49" t="s">
        <v>33</v>
      </c>
      <c r="B156" s="38" t="s">
        <v>12</v>
      </c>
      <c r="C156" s="44">
        <f>'Report Book'!IK35</f>
        <v>2</v>
      </c>
      <c r="D156" s="44">
        <f>'Report Book'!IK36</f>
        <v>2</v>
      </c>
      <c r="E156" s="45">
        <f>'Report Book'!IK37</f>
        <v>2</v>
      </c>
    </row>
    <row r="157" spans="1:5" hidden="1">
      <c r="A157" s="49" t="s">
        <v>33</v>
      </c>
      <c r="B157" s="38" t="s">
        <v>6</v>
      </c>
      <c r="C157" s="44">
        <f>'Report Book'!IL35</f>
        <v>320</v>
      </c>
      <c r="D157" s="44">
        <f>'Report Book'!IL36</f>
        <v>17.333333333333332</v>
      </c>
      <c r="E157" s="45">
        <f>'Report Book'!IL37</f>
        <v>90.8888888888889</v>
      </c>
    </row>
    <row r="158" spans="1:5" hidden="1">
      <c r="A158" s="49" t="s">
        <v>33</v>
      </c>
      <c r="B158" s="38" t="s">
        <v>37</v>
      </c>
      <c r="C158" s="44">
        <f>'Report Book'!IM35</f>
        <v>562</v>
      </c>
      <c r="D158" s="44">
        <f>'Report Book'!IM36</f>
        <v>48.906666666666666</v>
      </c>
      <c r="E158" s="45">
        <f>'Report Book'!IM37</f>
        <v>162.70711111111112</v>
      </c>
    </row>
    <row r="159" spans="1:5" hidden="1">
      <c r="A159" s="49" t="s">
        <v>34</v>
      </c>
      <c r="B159" s="38" t="s">
        <v>0</v>
      </c>
      <c r="C159" s="40">
        <f>'Report Book'!IN35</f>
        <v>7.8599999999999994</v>
      </c>
      <c r="D159" s="40">
        <f>'Report Book'!IN36</f>
        <v>6.71</v>
      </c>
      <c r="E159" s="41">
        <f>'Report Book'!IN37</f>
        <v>7.23</v>
      </c>
    </row>
    <row r="160" spans="1:5" hidden="1">
      <c r="A160" s="49" t="s">
        <v>34</v>
      </c>
      <c r="B160" s="38" t="s">
        <v>1</v>
      </c>
      <c r="C160" s="44">
        <f>'Report Book'!IO35</f>
        <v>12090</v>
      </c>
      <c r="D160" s="44">
        <f>'Report Book'!IO36</f>
        <v>7890</v>
      </c>
      <c r="E160" s="45">
        <f>'Report Book'!IO37</f>
        <v>9464</v>
      </c>
    </row>
    <row r="161" spans="1:5" hidden="1">
      <c r="A161" s="49" t="s">
        <v>34</v>
      </c>
      <c r="B161" s="38" t="s">
        <v>2</v>
      </c>
      <c r="C161" s="44">
        <f>'Report Book'!IP35</f>
        <v>2244</v>
      </c>
      <c r="D161" s="44">
        <f>'Report Book'!IP36</f>
        <v>264</v>
      </c>
      <c r="E161" s="45">
        <f>'Report Book'!IP37</f>
        <v>1758.2777777777776</v>
      </c>
    </row>
    <row r="162" spans="1:5" hidden="1">
      <c r="A162" s="49" t="s">
        <v>34</v>
      </c>
      <c r="B162" s="38" t="s">
        <v>4</v>
      </c>
      <c r="C162" s="44">
        <f>'Report Book'!IQ35</f>
        <v>844</v>
      </c>
      <c r="D162" s="44">
        <f>'Report Book'!IQ36</f>
        <v>414</v>
      </c>
      <c r="E162" s="45">
        <f>'Report Book'!IQ37</f>
        <v>568.66666666666663</v>
      </c>
    </row>
    <row r="163" spans="1:5">
      <c r="A163" s="49" t="s">
        <v>34</v>
      </c>
      <c r="B163" s="38" t="s">
        <v>12</v>
      </c>
      <c r="C163" s="44">
        <f>'Report Book'!IR35</f>
        <v>34</v>
      </c>
      <c r="D163" s="44">
        <f>'Report Book'!IR36</f>
        <v>6</v>
      </c>
      <c r="E163" s="45">
        <f>'Report Book'!IR37</f>
        <v>22.5</v>
      </c>
    </row>
    <row r="164" spans="1:5" hidden="1">
      <c r="A164" s="49" t="s">
        <v>34</v>
      </c>
      <c r="B164" s="38" t="s">
        <v>6</v>
      </c>
      <c r="C164" s="44">
        <f>'Report Book'!IS35</f>
        <v>844</v>
      </c>
      <c r="D164" s="44">
        <f>'Report Book'!IS36</f>
        <v>425</v>
      </c>
      <c r="E164" s="45">
        <f>'Report Book'!IS37</f>
        <v>633.72222222222229</v>
      </c>
    </row>
    <row r="165" spans="1:5" hidden="1">
      <c r="A165" s="49" t="s">
        <v>34</v>
      </c>
      <c r="B165" s="38" t="s">
        <v>37</v>
      </c>
      <c r="C165" s="44">
        <f>'Report Book'!IT35</f>
        <v>1511.3333333333333</v>
      </c>
      <c r="D165" s="44">
        <f>'Report Book'!IT36</f>
        <v>750</v>
      </c>
      <c r="E165" s="45">
        <f>'Report Book'!IT37</f>
        <v>998.72222222222217</v>
      </c>
    </row>
    <row r="166" spans="1:5" hidden="1">
      <c r="A166" s="49" t="s">
        <v>14</v>
      </c>
      <c r="B166" s="38" t="s">
        <v>0</v>
      </c>
      <c r="C166" s="40">
        <f>'Report Book'!IU35</f>
        <v>8.0966666666666658</v>
      </c>
      <c r="D166" s="40">
        <f>'Report Book'!IU36</f>
        <v>6.1050000000000004</v>
      </c>
      <c r="E166" s="41">
        <f>'Report Book'!IU37</f>
        <v>7.3547222222222226</v>
      </c>
    </row>
    <row r="167" spans="1:5" hidden="1">
      <c r="A167" s="49" t="s">
        <v>14</v>
      </c>
      <c r="B167" s="38" t="s">
        <v>1</v>
      </c>
      <c r="C167" s="44">
        <f>'Report Book'!IV35</f>
        <v>1613.3333333333333</v>
      </c>
      <c r="D167" s="44">
        <f>'Report Book'!IV36</f>
        <v>1376.5</v>
      </c>
      <c r="E167" s="45">
        <f>'Report Book'!IV37</f>
        <v>1510.25</v>
      </c>
    </row>
    <row r="168" spans="1:5" hidden="1">
      <c r="A168" s="49" t="s">
        <v>14</v>
      </c>
      <c r="B168" s="38" t="s">
        <v>2</v>
      </c>
      <c r="C168" s="44">
        <f>'Report Book'!IW35</f>
        <v>456</v>
      </c>
      <c r="D168" s="44">
        <f>'Report Book'!IW36</f>
        <v>368</v>
      </c>
      <c r="E168" s="45">
        <f>'Report Book'!IW37</f>
        <v>413.8055555555556</v>
      </c>
    </row>
    <row r="169" spans="1:5" hidden="1">
      <c r="A169" s="49" t="s">
        <v>14</v>
      </c>
      <c r="B169" s="38" t="s">
        <v>4</v>
      </c>
      <c r="C169" s="44">
        <f>'Report Book'!IX35</f>
        <v>147.33333333333334</v>
      </c>
      <c r="D169" s="44">
        <f>'Report Book'!IX36</f>
        <v>109.33333333333333</v>
      </c>
      <c r="E169" s="45">
        <f>'Report Book'!IX37</f>
        <v>120.6388888888889</v>
      </c>
    </row>
    <row r="170" spans="1:5" hidden="1">
      <c r="A170" s="49" t="s">
        <v>14</v>
      </c>
      <c r="B170" s="38" t="s">
        <v>3</v>
      </c>
      <c r="C170" s="44">
        <f>'Report Book'!IY35</f>
        <v>36</v>
      </c>
      <c r="D170" s="44">
        <f>'Report Book'!IY36</f>
        <v>27</v>
      </c>
      <c r="E170" s="45">
        <f>'Report Book'!IY37</f>
        <v>30.666666666666668</v>
      </c>
    </row>
    <row r="171" spans="1:5">
      <c r="A171" s="49" t="s">
        <v>14</v>
      </c>
      <c r="B171" s="38" t="s">
        <v>12</v>
      </c>
      <c r="C171" s="44">
        <f>'Report Book'!IZ35</f>
        <v>12</v>
      </c>
      <c r="D171" s="44">
        <f>'Report Book'!IZ36</f>
        <v>4</v>
      </c>
      <c r="E171" s="45">
        <f>'Report Book'!IZ37</f>
        <v>8.3333333333333339</v>
      </c>
    </row>
    <row r="172" spans="1:5" hidden="1">
      <c r="A172" s="49" t="s">
        <v>14</v>
      </c>
      <c r="B172" s="38" t="s">
        <v>7</v>
      </c>
      <c r="C172" s="40">
        <f>'Report Book'!JA35</f>
        <v>2.2450000000000001</v>
      </c>
      <c r="D172" s="40">
        <f>'Report Book'!JA36</f>
        <v>0.82333333333333325</v>
      </c>
      <c r="E172" s="41">
        <f>'Report Book'!JA37</f>
        <v>1.413888888888889</v>
      </c>
    </row>
    <row r="173" spans="1:5" hidden="1">
      <c r="A173" s="49" t="s">
        <v>14</v>
      </c>
      <c r="B173" s="38" t="s">
        <v>6</v>
      </c>
      <c r="C173" s="44">
        <f>'Report Book'!JB35</f>
        <v>156.66666666666666</v>
      </c>
      <c r="D173" s="44">
        <f>'Report Book'!JB36</f>
        <v>90.5</v>
      </c>
      <c r="E173" s="45">
        <f>'Report Book'!JB37</f>
        <v>118.05555555555556</v>
      </c>
    </row>
    <row r="174" spans="1:5" hidden="1">
      <c r="A174" s="49" t="s">
        <v>15</v>
      </c>
      <c r="B174" s="38" t="s">
        <v>0</v>
      </c>
      <c r="C174" s="40">
        <f>'Report Book'!JC35</f>
        <v>7.48</v>
      </c>
      <c r="D174" s="40">
        <f>'Report Book'!JC36</f>
        <v>6.3949999999999996</v>
      </c>
      <c r="E174" s="41">
        <f>'Report Book'!JC37</f>
        <v>7.0141666666666671</v>
      </c>
    </row>
    <row r="175" spans="1:5" hidden="1">
      <c r="A175" s="49" t="s">
        <v>15</v>
      </c>
      <c r="B175" s="38" t="s">
        <v>1</v>
      </c>
      <c r="C175" s="44">
        <f>'Report Book'!JD35</f>
        <v>93.05</v>
      </c>
      <c r="D175" s="44">
        <f>'Report Book'!JD36</f>
        <v>62.24</v>
      </c>
      <c r="E175" s="45">
        <f>'Report Book'!JD37</f>
        <v>76.611111111111114</v>
      </c>
    </row>
    <row r="176" spans="1:5" hidden="1">
      <c r="A176" s="49" t="s">
        <v>15</v>
      </c>
      <c r="B176" s="38" t="s">
        <v>2</v>
      </c>
      <c r="C176" s="44">
        <f>'Report Book'!JE35</f>
        <v>29.666666666666668</v>
      </c>
      <c r="D176" s="44">
        <f>'Report Book'!JE36</f>
        <v>16</v>
      </c>
      <c r="E176" s="45">
        <f>'Report Book'!JE37</f>
        <v>21</v>
      </c>
    </row>
    <row r="177" spans="1:5" hidden="1">
      <c r="A177" s="49" t="s">
        <v>15</v>
      </c>
      <c r="B177" s="38" t="s">
        <v>3</v>
      </c>
      <c r="C177" s="44">
        <f>'Report Book'!JF35</f>
        <v>2</v>
      </c>
      <c r="D177" s="44">
        <f>'Report Book'!JF36</f>
        <v>2</v>
      </c>
      <c r="E177" s="45">
        <f>'Report Book'!JF37</f>
        <v>2</v>
      </c>
    </row>
    <row r="178" spans="1:5" hidden="1">
      <c r="A178" s="49" t="s">
        <v>15</v>
      </c>
      <c r="B178" s="38" t="s">
        <v>4</v>
      </c>
      <c r="C178" s="44">
        <f>'Report Book'!JG35</f>
        <v>7.666666666666667</v>
      </c>
      <c r="D178" s="44">
        <f>'Report Book'!JG36</f>
        <v>4.333333333333333</v>
      </c>
      <c r="E178" s="45">
        <f>'Report Book'!JG37</f>
        <v>5.7777777777777777</v>
      </c>
    </row>
    <row r="179" spans="1:5" hidden="1">
      <c r="A179" s="53" t="s">
        <v>15</v>
      </c>
      <c r="B179" s="54" t="s">
        <v>6</v>
      </c>
      <c r="C179" s="55">
        <f>'Report Book'!JH35</f>
        <v>12</v>
      </c>
      <c r="D179" s="55">
        <f>'Report Book'!JH36</f>
        <v>5</v>
      </c>
      <c r="E179" s="56">
        <f>'Report Book'!JH37</f>
        <v>8.1111111111111125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82EE-774A-494C-AFEC-AD40D8E5FFCF}">
  <dimension ref="A1:N179"/>
  <sheetViews>
    <sheetView workbookViewId="0">
      <selection activeCell="D189" sqref="D189"/>
    </sheetView>
  </sheetViews>
  <sheetFormatPr defaultRowHeight="15.75"/>
  <cols>
    <col min="1" max="1" width="19.28515625" style="37" customWidth="1"/>
    <col min="2" max="2" width="14.7109375" style="37" customWidth="1"/>
    <col min="3" max="3" width="12.85546875" style="37" customWidth="1"/>
    <col min="4" max="5" width="12.28515625" style="37" customWidth="1"/>
    <col min="6" max="12" width="9.140625" style="37"/>
    <col min="13" max="13" width="12" style="37" bestFit="1" customWidth="1"/>
    <col min="14" max="14" width="17.42578125" style="37" bestFit="1" customWidth="1"/>
    <col min="15" max="16384" width="9.140625" style="37"/>
  </cols>
  <sheetData>
    <row r="1" spans="1:14" s="46" customFormat="1" ht="30" customHeight="1">
      <c r="A1" s="50" t="s">
        <v>36</v>
      </c>
      <c r="B1" s="51" t="s">
        <v>126</v>
      </c>
      <c r="C1" s="51" t="s">
        <v>82</v>
      </c>
      <c r="D1" s="51" t="s">
        <v>83</v>
      </c>
      <c r="E1" s="52" t="s">
        <v>16</v>
      </c>
      <c r="M1" s="47" t="s">
        <v>126</v>
      </c>
      <c r="N1" s="48" t="s">
        <v>36</v>
      </c>
    </row>
    <row r="2" spans="1:14">
      <c r="A2" s="49" t="s">
        <v>18</v>
      </c>
      <c r="B2" s="38" t="s">
        <v>38</v>
      </c>
      <c r="C2" s="40">
        <f>'Report Book'!C35</f>
        <v>5.75</v>
      </c>
      <c r="D2" s="40">
        <f>'Report Book'!C36</f>
        <v>3.5</v>
      </c>
      <c r="E2" s="41">
        <f>'Report Book'!C37</f>
        <v>4.3633333333333333</v>
      </c>
      <c r="M2" s="38" t="s">
        <v>38</v>
      </c>
      <c r="N2" s="39" t="s">
        <v>18</v>
      </c>
    </row>
    <row r="3" spans="1:14">
      <c r="A3" s="49" t="s">
        <v>18</v>
      </c>
      <c r="B3" s="38" t="s">
        <v>0</v>
      </c>
      <c r="C3" s="40">
        <f>'Report Book'!D35</f>
        <v>9.0533333333333328</v>
      </c>
      <c r="D3" s="40">
        <f>'Report Book'!D36</f>
        <v>7.52</v>
      </c>
      <c r="E3" s="41">
        <f>'Report Book'!D37</f>
        <v>8.1705555555555556</v>
      </c>
      <c r="M3" s="38" t="s">
        <v>0</v>
      </c>
      <c r="N3" s="39" t="s">
        <v>19</v>
      </c>
    </row>
    <row r="4" spans="1:14">
      <c r="A4" s="49" t="s">
        <v>18</v>
      </c>
      <c r="B4" s="38" t="s">
        <v>127</v>
      </c>
      <c r="C4" s="40">
        <f>'Report Book'!E35</f>
        <v>23.433333333333334</v>
      </c>
      <c r="D4" s="40">
        <f>'Report Book'!E36</f>
        <v>22.7</v>
      </c>
      <c r="E4" s="41">
        <f>'Report Book'!E37</f>
        <v>23.05</v>
      </c>
      <c r="M4" s="38" t="s">
        <v>127</v>
      </c>
      <c r="N4" s="39" t="s">
        <v>128</v>
      </c>
    </row>
    <row r="5" spans="1:14">
      <c r="A5" s="49" t="s">
        <v>18</v>
      </c>
      <c r="B5" s="38" t="s">
        <v>1</v>
      </c>
      <c r="C5" s="44">
        <f>'Report Book'!F35</f>
        <v>1082.3333333333333</v>
      </c>
      <c r="D5" s="44">
        <f>'Report Book'!F36</f>
        <v>720.66666666666663</v>
      </c>
      <c r="E5" s="45">
        <f>'Report Book'!F37</f>
        <v>866.33333333333337</v>
      </c>
      <c r="M5" s="38" t="s">
        <v>1</v>
      </c>
      <c r="N5" s="39" t="s">
        <v>21</v>
      </c>
    </row>
    <row r="6" spans="1:14">
      <c r="A6" s="49" t="s">
        <v>18</v>
      </c>
      <c r="B6" s="38" t="s">
        <v>2</v>
      </c>
      <c r="C6" s="44">
        <f>'Report Book'!G35</f>
        <v>3562</v>
      </c>
      <c r="D6" s="44">
        <f>'Report Book'!G36</f>
        <v>2665</v>
      </c>
      <c r="E6" s="45">
        <f>'Report Book'!G37</f>
        <v>3218.9166666666665</v>
      </c>
      <c r="M6" s="38" t="s">
        <v>2</v>
      </c>
      <c r="N6" s="39" t="s">
        <v>22</v>
      </c>
    </row>
    <row r="7" spans="1:14">
      <c r="A7" s="49" t="s">
        <v>18</v>
      </c>
      <c r="B7" s="38" t="s">
        <v>3</v>
      </c>
      <c r="C7" s="44">
        <f>'Report Book'!H35</f>
        <v>2400</v>
      </c>
      <c r="D7" s="44">
        <f>'Report Book'!H36</f>
        <v>2400</v>
      </c>
      <c r="E7" s="45">
        <f>'Report Book'!H37</f>
        <v>2400</v>
      </c>
      <c r="M7" s="38" t="s">
        <v>3</v>
      </c>
      <c r="N7" s="39" t="s">
        <v>24</v>
      </c>
    </row>
    <row r="8" spans="1:14">
      <c r="A8" s="49" t="s">
        <v>18</v>
      </c>
      <c r="B8" s="38" t="s">
        <v>12</v>
      </c>
      <c r="C8" s="44">
        <f>'Report Book'!I35</f>
        <v>154</v>
      </c>
      <c r="D8" s="44">
        <f>'Report Book'!I36</f>
        <v>38</v>
      </c>
      <c r="E8" s="45">
        <f>'Report Book'!I37</f>
        <v>88.666666666666671</v>
      </c>
      <c r="M8" s="38" t="s">
        <v>12</v>
      </c>
      <c r="N8" s="39" t="s">
        <v>25</v>
      </c>
    </row>
    <row r="9" spans="1:14">
      <c r="A9" s="49" t="s">
        <v>18</v>
      </c>
      <c r="B9" s="38" t="s">
        <v>7</v>
      </c>
      <c r="C9" s="44">
        <f>'Report Book'!J35</f>
        <v>55.966666666666669</v>
      </c>
      <c r="D9" s="44">
        <f>'Report Book'!J36</f>
        <v>21.900000000000002</v>
      </c>
      <c r="E9" s="45">
        <f>'Report Book'!J37</f>
        <v>42.888888888888886</v>
      </c>
      <c r="M9" s="38" t="s">
        <v>7</v>
      </c>
      <c r="N9" s="39" t="s">
        <v>26</v>
      </c>
    </row>
    <row r="10" spans="1:14">
      <c r="A10" s="49" t="s">
        <v>18</v>
      </c>
      <c r="B10" s="38" t="s">
        <v>4</v>
      </c>
      <c r="C10" s="44">
        <f>'Report Book'!K35</f>
        <v>136.66666666666666</v>
      </c>
      <c r="D10" s="44">
        <f>'Report Book'!K36</f>
        <v>98</v>
      </c>
      <c r="E10" s="44">
        <f>'Report Book'!K37</f>
        <v>113.72222222222221</v>
      </c>
      <c r="M10" s="38" t="s">
        <v>4</v>
      </c>
      <c r="N10" s="39" t="s">
        <v>27</v>
      </c>
    </row>
    <row r="11" spans="1:14">
      <c r="A11" s="49" t="s">
        <v>18</v>
      </c>
      <c r="B11" s="38" t="s">
        <v>6</v>
      </c>
      <c r="C11" s="44">
        <f>'Report Book'!Y35</f>
        <v>111.33333333333333</v>
      </c>
      <c r="D11" s="44">
        <f>'Report Book'!Y36</f>
        <v>16</v>
      </c>
      <c r="E11" s="44">
        <f>'Report Book'!Y37</f>
        <v>42.166666666666664</v>
      </c>
      <c r="M11" s="38" t="s">
        <v>6</v>
      </c>
      <c r="N11" s="39" t="s">
        <v>28</v>
      </c>
    </row>
    <row r="12" spans="1:14">
      <c r="A12" s="49" t="s">
        <v>18</v>
      </c>
      <c r="B12" s="38" t="s">
        <v>5</v>
      </c>
      <c r="C12" s="44">
        <f>'Report Book'!Z35</f>
        <v>36</v>
      </c>
      <c r="D12" s="44">
        <f>'Report Book'!Z36</f>
        <v>4</v>
      </c>
      <c r="E12" s="44">
        <f>'Report Book'!Z37</f>
        <v>14</v>
      </c>
      <c r="M12" s="38" t="s">
        <v>5</v>
      </c>
      <c r="N12" s="39" t="s">
        <v>29</v>
      </c>
    </row>
    <row r="13" spans="1:14">
      <c r="A13" s="49" t="s">
        <v>18</v>
      </c>
      <c r="B13" s="38" t="s">
        <v>37</v>
      </c>
      <c r="C13" s="44">
        <f>'Report Book'!AA35</f>
        <v>3833</v>
      </c>
      <c r="D13" s="44">
        <f>'Report Book'!AA36</f>
        <v>1745</v>
      </c>
      <c r="E13" s="44">
        <f>'Report Book'!AA37</f>
        <v>2930.1666666666665</v>
      </c>
      <c r="M13" s="38" t="s">
        <v>37</v>
      </c>
      <c r="N13" s="39" t="s">
        <v>30</v>
      </c>
    </row>
    <row r="14" spans="1:14" hidden="1">
      <c r="A14" s="49" t="s">
        <v>19</v>
      </c>
      <c r="B14" s="38" t="s">
        <v>127</v>
      </c>
      <c r="C14" s="40">
        <f>'Report Book'!AO35</f>
        <v>23.3</v>
      </c>
      <c r="D14" s="40">
        <f>'Report Book'!AO36</f>
        <v>22.700000000000003</v>
      </c>
      <c r="E14" s="41">
        <f>'Report Book'!AO37</f>
        <v>23.011111111111109</v>
      </c>
      <c r="M14" s="38" t="s">
        <v>13</v>
      </c>
      <c r="N14" s="39" t="s">
        <v>31</v>
      </c>
    </row>
    <row r="15" spans="1:14" hidden="1">
      <c r="A15" s="49" t="s">
        <v>19</v>
      </c>
      <c r="B15" s="38" t="s">
        <v>0</v>
      </c>
      <c r="C15" s="40">
        <f>'Report Book'!AP35</f>
        <v>7.77</v>
      </c>
      <c r="D15" s="40">
        <f>'Report Book'!AP36</f>
        <v>6.48</v>
      </c>
      <c r="E15" s="41">
        <f>'Report Book'!AP37</f>
        <v>7.1461111111111109</v>
      </c>
      <c r="M15" s="38" t="s">
        <v>8</v>
      </c>
      <c r="N15" s="39" t="s">
        <v>129</v>
      </c>
    </row>
    <row r="16" spans="1:14" hidden="1">
      <c r="A16" s="49" t="s">
        <v>19</v>
      </c>
      <c r="B16" s="38" t="s">
        <v>1</v>
      </c>
      <c r="C16" s="44">
        <f>'Report Book'!AQ35</f>
        <v>1590.3333333333333</v>
      </c>
      <c r="D16" s="44">
        <f>'Report Book'!AQ36</f>
        <v>1005</v>
      </c>
      <c r="E16" s="45">
        <f>'Report Book'!AQ37</f>
        <v>1226.4444444444443</v>
      </c>
      <c r="M16" s="38" t="s">
        <v>9</v>
      </c>
      <c r="N16" s="39" t="s">
        <v>130</v>
      </c>
    </row>
    <row r="17" spans="1:14" hidden="1">
      <c r="A17" s="49" t="s">
        <v>19</v>
      </c>
      <c r="B17" s="38" t="s">
        <v>2</v>
      </c>
      <c r="C17" s="44">
        <f>'Report Book'!AR35</f>
        <v>3488</v>
      </c>
      <c r="D17" s="44">
        <f>'Report Book'!AR36</f>
        <v>2604</v>
      </c>
      <c r="E17" s="45">
        <f>'Report Book'!AR37</f>
        <v>3294.5277777777778</v>
      </c>
      <c r="M17" s="38" t="s">
        <v>17</v>
      </c>
      <c r="N17" s="39" t="s">
        <v>131</v>
      </c>
    </row>
    <row r="18" spans="1:14" hidden="1">
      <c r="A18" s="49" t="s">
        <v>19</v>
      </c>
      <c r="B18" s="38" t="s">
        <v>3</v>
      </c>
      <c r="C18" s="44">
        <f>'Report Book'!AS35</f>
        <v>1950</v>
      </c>
      <c r="D18" s="44">
        <f>'Report Book'!AS36</f>
        <v>1950</v>
      </c>
      <c r="E18" s="45">
        <f>'Report Book'!AS37</f>
        <v>1950</v>
      </c>
      <c r="M18" s="38" t="s">
        <v>10</v>
      </c>
      <c r="N18" s="39" t="s">
        <v>132</v>
      </c>
    </row>
    <row r="19" spans="1:14" hidden="1">
      <c r="A19" s="49" t="s">
        <v>19</v>
      </c>
      <c r="B19" s="38" t="s">
        <v>12</v>
      </c>
      <c r="C19" s="44">
        <f>'Report Book'!AT35</f>
        <v>98</v>
      </c>
      <c r="D19" s="44">
        <f>'Report Book'!AT36</f>
        <v>26</v>
      </c>
      <c r="E19" s="45">
        <f>'Report Book'!AT37</f>
        <v>67</v>
      </c>
      <c r="M19" s="38" t="s">
        <v>11</v>
      </c>
      <c r="N19" s="39" t="s">
        <v>32</v>
      </c>
    </row>
    <row r="20" spans="1:14" hidden="1">
      <c r="A20" s="49" t="s">
        <v>19</v>
      </c>
      <c r="B20" s="38" t="s">
        <v>7</v>
      </c>
      <c r="C20" s="44">
        <f>'Report Book'!AU35</f>
        <v>62.300000000000004</v>
      </c>
      <c r="D20" s="44">
        <f>'Report Book'!AU36</f>
        <v>28</v>
      </c>
      <c r="E20" s="45">
        <f>'Report Book'!AU37</f>
        <v>36.983333333333334</v>
      </c>
      <c r="M20" s="38" t="s">
        <v>23</v>
      </c>
      <c r="N20" s="39" t="s">
        <v>33</v>
      </c>
    </row>
    <row r="21" spans="1:14" hidden="1">
      <c r="A21" s="49" t="s">
        <v>19</v>
      </c>
      <c r="B21" s="38" t="s">
        <v>4</v>
      </c>
      <c r="C21" s="44">
        <f>'Report Book'!AV35</f>
        <v>134.33333333333334</v>
      </c>
      <c r="D21" s="44">
        <f>'Report Book'!AV36</f>
        <v>97.333333333333329</v>
      </c>
      <c r="E21" s="45">
        <f>'Report Book'!AV37</f>
        <v>117.5</v>
      </c>
      <c r="M21" s="38"/>
      <c r="N21" s="39" t="s">
        <v>34</v>
      </c>
    </row>
    <row r="22" spans="1:14" hidden="1">
      <c r="A22" s="49" t="s">
        <v>19</v>
      </c>
      <c r="B22" s="38" t="s">
        <v>6</v>
      </c>
      <c r="C22" s="44">
        <f>'Report Book'!AW35</f>
        <v>140</v>
      </c>
      <c r="D22" s="44">
        <f>'Report Book'!AW36</f>
        <v>45</v>
      </c>
      <c r="E22" s="45">
        <f>'Report Book'!AW37</f>
        <v>92.666666666666671</v>
      </c>
    </row>
    <row r="23" spans="1:14" hidden="1">
      <c r="A23" s="49" t="s">
        <v>128</v>
      </c>
      <c r="B23" s="38" t="s">
        <v>0</v>
      </c>
      <c r="C23" s="40">
        <f>'Report Book'!AX35</f>
        <v>7.5066666666666668</v>
      </c>
      <c r="D23" s="40">
        <f>'Report Book'!AX36</f>
        <v>6.456666666666667</v>
      </c>
      <c r="E23" s="41">
        <f>'Report Book'!AX37</f>
        <v>7.0183333333333335</v>
      </c>
    </row>
    <row r="24" spans="1:14" hidden="1">
      <c r="A24" s="49" t="s">
        <v>128</v>
      </c>
      <c r="B24" s="38" t="s">
        <v>8</v>
      </c>
      <c r="C24" s="44">
        <f>'Report Book'!AY35</f>
        <v>384</v>
      </c>
      <c r="D24" s="44">
        <f>'Report Book'!AY36</f>
        <v>208</v>
      </c>
      <c r="E24" s="45">
        <f>'Report Book'!AY37</f>
        <v>315.66666666666669</v>
      </c>
    </row>
    <row r="25" spans="1:14" hidden="1">
      <c r="A25" s="49" t="s">
        <v>128</v>
      </c>
      <c r="B25" s="38" t="s">
        <v>1</v>
      </c>
      <c r="C25" s="44">
        <f>'Report Book'!AZ35</f>
        <v>1802</v>
      </c>
      <c r="D25" s="44">
        <f>'Report Book'!AZ36</f>
        <v>1385</v>
      </c>
      <c r="E25" s="45">
        <f>'Report Book'!AZ37</f>
        <v>1547</v>
      </c>
    </row>
    <row r="26" spans="1:14" hidden="1">
      <c r="A26" s="49" t="s">
        <v>128</v>
      </c>
      <c r="B26" s="38" t="s">
        <v>2</v>
      </c>
      <c r="C26" s="44">
        <f>'Report Book'!BA35</f>
        <v>500</v>
      </c>
      <c r="D26" s="44">
        <f>'Report Book'!BA36</f>
        <v>399.33333333333331</v>
      </c>
      <c r="E26" s="45">
        <f>'Report Book'!BA37</f>
        <v>453.94444444444451</v>
      </c>
    </row>
    <row r="27" spans="1:14" hidden="1">
      <c r="A27" s="49" t="s">
        <v>128</v>
      </c>
      <c r="B27" s="38" t="s">
        <v>3</v>
      </c>
      <c r="C27" s="44">
        <f>'Report Book'!BB35</f>
        <v>165</v>
      </c>
      <c r="D27" s="44">
        <f>'Report Book'!BB36</f>
        <v>135</v>
      </c>
      <c r="E27" s="45">
        <f>'Report Book'!BB37</f>
        <v>150</v>
      </c>
    </row>
    <row r="28" spans="1:14" hidden="1">
      <c r="A28" s="49" t="s">
        <v>128</v>
      </c>
      <c r="B28" s="38" t="s">
        <v>4</v>
      </c>
      <c r="C28" s="44">
        <f>'Report Book'!BC35</f>
        <v>165</v>
      </c>
      <c r="D28" s="44">
        <f>'Report Book'!BC36</f>
        <v>123.33333333333333</v>
      </c>
      <c r="E28" s="45">
        <f>'Report Book'!BC37</f>
        <v>136.16666666666666</v>
      </c>
    </row>
    <row r="29" spans="1:14" hidden="1">
      <c r="A29" s="49" t="s">
        <v>128</v>
      </c>
      <c r="B29" s="38" t="s">
        <v>9</v>
      </c>
      <c r="C29" s="40">
        <f>'Report Book'!BD35</f>
        <v>2.4633333333333334</v>
      </c>
      <c r="D29" s="40">
        <f>'Report Book'!BD36</f>
        <v>1.9533333333333334</v>
      </c>
      <c r="E29" s="41">
        <f>'Report Book'!BD37</f>
        <v>2.1438333333333333</v>
      </c>
    </row>
    <row r="30" spans="1:14" hidden="1">
      <c r="A30" s="49" t="s">
        <v>128</v>
      </c>
      <c r="B30" s="38" t="s">
        <v>17</v>
      </c>
      <c r="C30" s="40">
        <f>'Report Book'!BE35</f>
        <v>3.8</v>
      </c>
      <c r="D30" s="40">
        <f>'Report Book'!BE36</f>
        <v>2.4</v>
      </c>
      <c r="E30" s="41">
        <f>'Report Book'!BE37</f>
        <v>3.2333333333333329</v>
      </c>
    </row>
    <row r="31" spans="1:14" hidden="1">
      <c r="A31" s="49" t="s">
        <v>128</v>
      </c>
      <c r="B31" s="38" t="s">
        <v>10</v>
      </c>
      <c r="C31" s="44">
        <f>'Report Book'!BF35</f>
        <v>8965</v>
      </c>
      <c r="D31" s="44">
        <f>'Report Book'!BF36</f>
        <v>2498</v>
      </c>
      <c r="E31" s="45">
        <f>'Report Book'!BF37</f>
        <v>5554.833333333333</v>
      </c>
    </row>
    <row r="32" spans="1:14" hidden="1">
      <c r="A32" s="49" t="s">
        <v>128</v>
      </c>
      <c r="B32" s="38" t="s">
        <v>11</v>
      </c>
      <c r="C32" s="44">
        <f>'Report Book'!BG35</f>
        <v>5326</v>
      </c>
      <c r="D32" s="44">
        <f>'Report Book'!BG36</f>
        <v>1514</v>
      </c>
      <c r="E32" s="45">
        <f>'Report Book'!BG37</f>
        <v>3228.8333333333335</v>
      </c>
    </row>
    <row r="33" spans="1:5" hidden="1">
      <c r="A33" s="49" t="s">
        <v>128</v>
      </c>
      <c r="B33" s="38" t="s">
        <v>23</v>
      </c>
      <c r="C33" s="40">
        <f>C32/C31</f>
        <v>0.59408812046848858</v>
      </c>
      <c r="D33" s="40">
        <f t="shared" ref="D33:E33" si="0">D32/D31</f>
        <v>0.60608486789431548</v>
      </c>
      <c r="E33" s="40">
        <f t="shared" si="0"/>
        <v>0.58126556452338807</v>
      </c>
    </row>
    <row r="34" spans="1:5" hidden="1">
      <c r="A34" s="49" t="s">
        <v>128</v>
      </c>
      <c r="B34" s="38" t="s">
        <v>6</v>
      </c>
      <c r="C34" s="44">
        <f>'Report Book'!BI35</f>
        <v>150</v>
      </c>
      <c r="D34" s="44">
        <f>'Report Book'!BI36</f>
        <v>80</v>
      </c>
      <c r="E34" s="45">
        <f>'Report Book'!BI37</f>
        <v>113.5</v>
      </c>
    </row>
    <row r="35" spans="1:5" hidden="1">
      <c r="A35" s="49" t="s">
        <v>21</v>
      </c>
      <c r="B35" s="38" t="s">
        <v>127</v>
      </c>
      <c r="C35" s="40">
        <f>'Report Book'!BJ35</f>
        <v>24.166666666666668</v>
      </c>
      <c r="D35" s="40">
        <f>'Report Book'!BJ36</f>
        <v>22.9</v>
      </c>
      <c r="E35" s="41">
        <f>'Report Book'!BJ37</f>
        <v>23.305555555555557</v>
      </c>
    </row>
    <row r="36" spans="1:5" hidden="1">
      <c r="A36" s="49" t="s">
        <v>21</v>
      </c>
      <c r="B36" s="38" t="s">
        <v>0</v>
      </c>
      <c r="C36" s="40">
        <f>'Report Book'!BK35</f>
        <v>6.7149999999999999</v>
      </c>
      <c r="D36" s="40">
        <f>'Report Book'!BK36</f>
        <v>6.166666666666667</v>
      </c>
      <c r="E36" s="41">
        <f>'Report Book'!BK37</f>
        <v>6.589999999999999</v>
      </c>
    </row>
    <row r="37" spans="1:5" hidden="1">
      <c r="A37" s="49" t="s">
        <v>21</v>
      </c>
      <c r="B37" s="38" t="s">
        <v>8</v>
      </c>
      <c r="C37" s="44">
        <f>'Report Book'!BL35</f>
        <v>364</v>
      </c>
      <c r="D37" s="44">
        <f>'Report Book'!BL36</f>
        <v>187</v>
      </c>
      <c r="E37" s="45">
        <f>'Report Book'!BL37</f>
        <v>294.83333333333331</v>
      </c>
    </row>
    <row r="38" spans="1:5" hidden="1">
      <c r="A38" s="49" t="s">
        <v>21</v>
      </c>
      <c r="B38" s="38" t="s">
        <v>1</v>
      </c>
      <c r="C38" s="44">
        <f>'Report Book'!BM35</f>
        <v>1801.3333333333333</v>
      </c>
      <c r="D38" s="44">
        <f>'Report Book'!BM36</f>
        <v>1371.5</v>
      </c>
      <c r="E38" s="45">
        <f>'Report Book'!BM37</f>
        <v>1572.5555555555554</v>
      </c>
    </row>
    <row r="39" spans="1:5" hidden="1">
      <c r="A39" s="49" t="s">
        <v>21</v>
      </c>
      <c r="B39" s="38" t="s">
        <v>2</v>
      </c>
      <c r="C39" s="44">
        <f>'Report Book'!BN35</f>
        <v>517</v>
      </c>
      <c r="D39" s="44">
        <f>'Report Book'!BN36</f>
        <v>400.66666666666669</v>
      </c>
      <c r="E39" s="45">
        <f>'Report Book'!BN37</f>
        <v>463.22222222222223</v>
      </c>
    </row>
    <row r="40" spans="1:5" hidden="1">
      <c r="A40" s="49" t="s">
        <v>21</v>
      </c>
      <c r="B40" s="38" t="s">
        <v>3</v>
      </c>
      <c r="C40" s="44">
        <f>'Report Book'!BO35</f>
        <v>105</v>
      </c>
      <c r="D40" s="44">
        <f>'Report Book'!BO36</f>
        <v>105</v>
      </c>
      <c r="E40" s="45">
        <f>'Report Book'!BO37</f>
        <v>105</v>
      </c>
    </row>
    <row r="41" spans="1:5" hidden="1">
      <c r="A41" s="49" t="s">
        <v>21</v>
      </c>
      <c r="B41" s="38" t="s">
        <v>4</v>
      </c>
      <c r="C41" s="44">
        <f>'Report Book'!BP35</f>
        <v>197.66666666666666</v>
      </c>
      <c r="D41" s="44">
        <f>'Report Book'!BP36</f>
        <v>118.66666666666667</v>
      </c>
      <c r="E41" s="45">
        <f>'Report Book'!BP37</f>
        <v>144.33333333333331</v>
      </c>
    </row>
    <row r="42" spans="1:5" hidden="1">
      <c r="A42" s="49" t="s">
        <v>21</v>
      </c>
      <c r="B42" s="38" t="s">
        <v>12</v>
      </c>
      <c r="C42" s="44">
        <f>'Report Book'!BQ35</f>
        <v>26</v>
      </c>
      <c r="D42" s="44">
        <f>'Report Book'!BQ36</f>
        <v>6</v>
      </c>
      <c r="E42" s="45">
        <f>'Report Book'!BQ37</f>
        <v>18</v>
      </c>
    </row>
    <row r="43" spans="1:5" hidden="1">
      <c r="A43" s="49" t="s">
        <v>21</v>
      </c>
      <c r="B43" s="38" t="s">
        <v>7</v>
      </c>
      <c r="C43" s="40">
        <f>'Report Book'!BR35</f>
        <v>6.15</v>
      </c>
      <c r="D43" s="40">
        <f>'Report Book'!BR36</f>
        <v>3.1</v>
      </c>
      <c r="E43" s="41">
        <f>'Report Book'!BR37</f>
        <v>4.5277777777777777</v>
      </c>
    </row>
    <row r="44" spans="1:5" hidden="1">
      <c r="A44" s="49" t="s">
        <v>22</v>
      </c>
      <c r="B44" s="38" t="s">
        <v>10</v>
      </c>
      <c r="C44" s="44">
        <f>'Report Book'!BS35</f>
        <v>9653</v>
      </c>
      <c r="D44" s="44">
        <f>'Report Book'!BS36</f>
        <v>4885</v>
      </c>
      <c r="E44" s="45">
        <f>'Report Book'!BS37</f>
        <v>6196</v>
      </c>
    </row>
    <row r="45" spans="1:5" hidden="1">
      <c r="A45" s="49" t="s">
        <v>22</v>
      </c>
      <c r="B45" s="38" t="s">
        <v>11</v>
      </c>
      <c r="C45" s="44">
        <f>'Report Book'!BT35</f>
        <v>5862</v>
      </c>
      <c r="D45" s="44">
        <f>'Report Book'!BT36</f>
        <v>2935</v>
      </c>
      <c r="E45" s="45">
        <f>'Report Book'!BT37</f>
        <v>3673.6666666666665</v>
      </c>
    </row>
    <row r="46" spans="1:5" hidden="1">
      <c r="A46" s="49" t="s">
        <v>22</v>
      </c>
      <c r="B46" s="38" t="s">
        <v>23</v>
      </c>
      <c r="C46" s="40">
        <f>C45/C44</f>
        <v>0.60727235056459128</v>
      </c>
      <c r="D46" s="40">
        <f t="shared" ref="D46:E46" si="1">D45/D44</f>
        <v>0.60081883316274309</v>
      </c>
      <c r="E46" s="40">
        <f t="shared" si="1"/>
        <v>0.59290940391650526</v>
      </c>
    </row>
    <row r="47" spans="1:5" hidden="1">
      <c r="A47" s="49" t="s">
        <v>24</v>
      </c>
      <c r="B47" s="38" t="s">
        <v>0</v>
      </c>
      <c r="C47" s="40">
        <f>'Report Book'!BU35</f>
        <v>7.59</v>
      </c>
      <c r="D47" s="40">
        <f>'Report Book'!BU36</f>
        <v>6.753333333333333</v>
      </c>
      <c r="E47" s="41">
        <f>'Report Book'!BU37</f>
        <v>7.3666666666666671</v>
      </c>
    </row>
    <row r="48" spans="1:5" hidden="1">
      <c r="A48" s="49" t="s">
        <v>24</v>
      </c>
      <c r="B48" s="38" t="s">
        <v>1</v>
      </c>
      <c r="C48" s="44">
        <f>'Report Book'!BV35</f>
        <v>1723.6666666666667</v>
      </c>
      <c r="D48" s="44">
        <f>'Report Book'!BV36</f>
        <v>1379</v>
      </c>
      <c r="E48" s="45">
        <f>'Report Book'!BV37</f>
        <v>1537.8333333333333</v>
      </c>
    </row>
    <row r="49" spans="1:5" hidden="1">
      <c r="A49" s="49" t="s">
        <v>24</v>
      </c>
      <c r="B49" s="38" t="s">
        <v>2</v>
      </c>
      <c r="C49" s="44">
        <f>'Report Book'!BW35</f>
        <v>494.33333333333331</v>
      </c>
      <c r="D49" s="44">
        <f>'Report Book'!BW36</f>
        <v>394</v>
      </c>
      <c r="E49" s="45">
        <f>'Report Book'!BW37</f>
        <v>446.4444444444444</v>
      </c>
    </row>
    <row r="50" spans="1:5" hidden="1">
      <c r="A50" s="49" t="s">
        <v>24</v>
      </c>
      <c r="B50" s="38" t="s">
        <v>3</v>
      </c>
      <c r="C50" s="44">
        <f>'Report Book'!BX35</f>
        <v>96</v>
      </c>
      <c r="D50" s="44">
        <f>'Report Book'!BX36</f>
        <v>78</v>
      </c>
      <c r="E50" s="45">
        <f>'Report Book'!BX37</f>
        <v>86</v>
      </c>
    </row>
    <row r="51" spans="1:5" hidden="1">
      <c r="A51" s="49" t="s">
        <v>24</v>
      </c>
      <c r="B51" s="38" t="s">
        <v>4</v>
      </c>
      <c r="C51" s="44">
        <f>'Report Book'!BY35</f>
        <v>164.66666666666666</v>
      </c>
      <c r="D51" s="44">
        <f>'Report Book'!BY36</f>
        <v>115.33333333333333</v>
      </c>
      <c r="E51" s="45">
        <f>'Report Book'!BY37</f>
        <v>128.88888888888889</v>
      </c>
    </row>
    <row r="52" spans="1:5" hidden="1">
      <c r="A52" s="49" t="s">
        <v>24</v>
      </c>
      <c r="B52" s="38" t="s">
        <v>17</v>
      </c>
      <c r="C52" s="40">
        <f>'Report Book'!BZ35</f>
        <v>5</v>
      </c>
      <c r="D52" s="40">
        <f>'Report Book'!BZ36</f>
        <v>3.8</v>
      </c>
      <c r="E52" s="41">
        <f>'Report Book'!BZ37</f>
        <v>4.3999999999999995</v>
      </c>
    </row>
    <row r="53" spans="1:5" hidden="1">
      <c r="A53" s="49" t="s">
        <v>24</v>
      </c>
      <c r="B53" s="38" t="s">
        <v>10</v>
      </c>
      <c r="C53" s="44">
        <f>'Report Book'!CA35</f>
        <v>4852</v>
      </c>
      <c r="D53" s="44">
        <f>'Report Book'!CA36</f>
        <v>2658</v>
      </c>
      <c r="E53" s="45">
        <f>'Report Book'!CA37</f>
        <v>3761.5</v>
      </c>
    </row>
    <row r="54" spans="1:5" hidden="1">
      <c r="A54" s="49" t="s">
        <v>24</v>
      </c>
      <c r="B54" s="38" t="s">
        <v>11</v>
      </c>
      <c r="C54" s="44">
        <f>'Report Book'!CB35</f>
        <v>3011</v>
      </c>
      <c r="D54" s="44">
        <f>'Report Book'!CB36</f>
        <v>1415</v>
      </c>
      <c r="E54" s="45">
        <f>'Report Book'!CB37</f>
        <v>2199.3333333333335</v>
      </c>
    </row>
    <row r="55" spans="1:5" hidden="1">
      <c r="A55" s="49" t="s">
        <v>24</v>
      </c>
      <c r="B55" s="38" t="s">
        <v>23</v>
      </c>
      <c r="C55" s="40">
        <f>C54/C53</f>
        <v>0.62056883759274528</v>
      </c>
      <c r="D55" s="40">
        <f t="shared" ref="D55:E55" si="2">D54/D53</f>
        <v>0.53235515425131674</v>
      </c>
      <c r="E55" s="40">
        <f t="shared" si="2"/>
        <v>0.58469582170233514</v>
      </c>
    </row>
    <row r="56" spans="1:5" hidden="1">
      <c r="A56" s="49" t="s">
        <v>25</v>
      </c>
      <c r="B56" s="38" t="s">
        <v>0</v>
      </c>
      <c r="C56" s="40">
        <f>'Report Book'!CC35</f>
        <v>7.996666666666667</v>
      </c>
      <c r="D56" s="40">
        <f>'Report Book'!CC36</f>
        <v>7.1266666666666678</v>
      </c>
      <c r="E56" s="41">
        <f>'Report Book'!CC37</f>
        <v>7.5744444444444445</v>
      </c>
    </row>
    <row r="57" spans="1:5" hidden="1">
      <c r="A57" s="49" t="s">
        <v>25</v>
      </c>
      <c r="B57" s="38" t="s">
        <v>1</v>
      </c>
      <c r="C57" s="44">
        <f>'Report Book'!CD35</f>
        <v>1901</v>
      </c>
      <c r="D57" s="44">
        <f>'Report Book'!CD36</f>
        <v>1404.6666666666667</v>
      </c>
      <c r="E57" s="45">
        <f>'Report Book'!CD37</f>
        <v>1581.1666666666667</v>
      </c>
    </row>
    <row r="58" spans="1:5" hidden="1">
      <c r="A58" s="49" t="s">
        <v>25</v>
      </c>
      <c r="B58" s="38" t="s">
        <v>2</v>
      </c>
      <c r="C58" s="44">
        <f>'Report Book'!CE35</f>
        <v>489.33333333333331</v>
      </c>
      <c r="D58" s="44">
        <f>'Report Book'!CE36</f>
        <v>387.33333333333331</v>
      </c>
      <c r="E58" s="45">
        <f>'Report Book'!CE37</f>
        <v>441.0555555555556</v>
      </c>
    </row>
    <row r="59" spans="1:5" hidden="1">
      <c r="A59" s="49" t="s">
        <v>25</v>
      </c>
      <c r="B59" s="38" t="s">
        <v>3</v>
      </c>
      <c r="C59" s="44">
        <f>'Report Book'!CF35</f>
        <v>78</v>
      </c>
      <c r="D59" s="44">
        <f>'Report Book'!CF36</f>
        <v>60</v>
      </c>
      <c r="E59" s="45">
        <f>'Report Book'!CF37</f>
        <v>70</v>
      </c>
    </row>
    <row r="60" spans="1:5" hidden="1">
      <c r="A60" s="49" t="s">
        <v>25</v>
      </c>
      <c r="B60" s="38" t="s">
        <v>4</v>
      </c>
      <c r="C60" s="44">
        <f>'Report Book'!CG35</f>
        <v>162.66666666666666</v>
      </c>
      <c r="D60" s="44">
        <f>'Report Book'!CG36</f>
        <v>113.66666666666667</v>
      </c>
      <c r="E60" s="45">
        <f>'Report Book'!CG37</f>
        <v>127.05555555555554</v>
      </c>
    </row>
    <row r="61" spans="1:5" hidden="1">
      <c r="A61" s="49" t="s">
        <v>25</v>
      </c>
      <c r="B61" s="38" t="s">
        <v>17</v>
      </c>
      <c r="C61" s="40">
        <f>'Report Book'!CH35</f>
        <v>5.5</v>
      </c>
      <c r="D61" s="40">
        <f>'Report Book'!CH36</f>
        <v>4.2</v>
      </c>
      <c r="E61" s="41">
        <f>'Report Book'!CH37</f>
        <v>5.05</v>
      </c>
    </row>
    <row r="62" spans="1:5" hidden="1">
      <c r="A62" s="49" t="s">
        <v>25</v>
      </c>
      <c r="B62" s="38" t="s">
        <v>10</v>
      </c>
      <c r="C62" s="44">
        <f>'Report Book'!CI35</f>
        <v>4164</v>
      </c>
      <c r="D62" s="44">
        <f>'Report Book'!CI36</f>
        <v>2365</v>
      </c>
      <c r="E62" s="45">
        <f>'Report Book'!CI37</f>
        <v>3518.1666666666665</v>
      </c>
    </row>
    <row r="63" spans="1:5" hidden="1">
      <c r="A63" s="49" t="s">
        <v>25</v>
      </c>
      <c r="B63" s="38" t="s">
        <v>11</v>
      </c>
      <c r="C63" s="44">
        <f>'Report Book'!CJ35</f>
        <v>2510</v>
      </c>
      <c r="D63" s="44">
        <f>'Report Book'!CJ36</f>
        <v>1423</v>
      </c>
      <c r="E63" s="45">
        <f>'Report Book'!CJ37</f>
        <v>2133.3333333333335</v>
      </c>
    </row>
    <row r="64" spans="1:5" hidden="1">
      <c r="A64" s="49" t="s">
        <v>25</v>
      </c>
      <c r="B64" s="38" t="s">
        <v>23</v>
      </c>
      <c r="C64" s="40">
        <f>C63/C62</f>
        <v>0.60278578290105667</v>
      </c>
      <c r="D64" s="40">
        <f t="shared" ref="D64:E64" si="3">D63/D62</f>
        <v>0.60169133192389002</v>
      </c>
      <c r="E64" s="40">
        <f t="shared" si="3"/>
        <v>0.60637642711639594</v>
      </c>
    </row>
    <row r="65" spans="1:5" hidden="1">
      <c r="A65" s="49" t="s">
        <v>26</v>
      </c>
      <c r="B65" s="38" t="s">
        <v>0</v>
      </c>
      <c r="C65" s="40">
        <f>'Report Book'!CL35</f>
        <v>7.8833333333333329</v>
      </c>
      <c r="D65" s="40">
        <f>'Report Book'!CL36</f>
        <v>7.4633333333333338</v>
      </c>
      <c r="E65" s="41">
        <f>'Report Book'!CL37</f>
        <v>7.6888888888888891</v>
      </c>
    </row>
    <row r="66" spans="1:5" hidden="1">
      <c r="A66" s="49" t="s">
        <v>26</v>
      </c>
      <c r="B66" s="38" t="s">
        <v>12</v>
      </c>
      <c r="C66" s="44">
        <f>'Report Book'!CM35</f>
        <v>162</v>
      </c>
      <c r="D66" s="44">
        <f>'Report Book'!CM36</f>
        <v>38</v>
      </c>
      <c r="E66" s="45">
        <f>'Report Book'!CM37</f>
        <v>93</v>
      </c>
    </row>
    <row r="67" spans="1:5" hidden="1">
      <c r="A67" s="49" t="s">
        <v>26</v>
      </c>
      <c r="B67" s="38" t="s">
        <v>1</v>
      </c>
      <c r="C67" s="44">
        <f>'Report Book'!CN35</f>
        <v>1717.3333333333333</v>
      </c>
      <c r="D67" s="44">
        <f>'Report Book'!CN36</f>
        <v>1320</v>
      </c>
      <c r="E67" s="45">
        <f>'Report Book'!CN37</f>
        <v>1510.6388888888887</v>
      </c>
    </row>
    <row r="68" spans="1:5" hidden="1">
      <c r="A68" s="49" t="s">
        <v>26</v>
      </c>
      <c r="B68" s="38" t="s">
        <v>2</v>
      </c>
      <c r="C68" s="44">
        <f>'Report Book'!CO35</f>
        <v>498.5</v>
      </c>
      <c r="D68" s="44">
        <f>'Report Book'!CO36</f>
        <v>396.66666666666669</v>
      </c>
      <c r="E68" s="45">
        <f>'Report Book'!CO37</f>
        <v>451.49999999999994</v>
      </c>
    </row>
    <row r="69" spans="1:5" hidden="1">
      <c r="A69" s="49" t="s">
        <v>26</v>
      </c>
      <c r="B69" s="38" t="s">
        <v>3</v>
      </c>
      <c r="C69" s="44">
        <f>'Report Book'!CP35</f>
        <v>48</v>
      </c>
      <c r="D69" s="44">
        <f>'Report Book'!CP36</f>
        <v>48</v>
      </c>
      <c r="E69" s="45">
        <f>'Report Book'!CP37</f>
        <v>48</v>
      </c>
    </row>
    <row r="70" spans="1:5" hidden="1">
      <c r="A70" s="49" t="s">
        <v>26</v>
      </c>
      <c r="B70" s="38" t="s">
        <v>4</v>
      </c>
      <c r="C70" s="44">
        <f>'Report Book'!CQ35</f>
        <v>166.66666666666666</v>
      </c>
      <c r="D70" s="44">
        <f>'Report Book'!CQ36</f>
        <v>117.33333333333333</v>
      </c>
      <c r="E70" s="45">
        <f>'Report Book'!CQ37</f>
        <v>134.19444444444443</v>
      </c>
    </row>
    <row r="71" spans="1:5" hidden="1">
      <c r="A71" s="49" t="s">
        <v>26</v>
      </c>
      <c r="B71" s="38" t="s">
        <v>7</v>
      </c>
      <c r="C71" s="40">
        <f>'Report Book'!CR35</f>
        <v>35.4</v>
      </c>
      <c r="D71" s="40">
        <f>'Report Book'!CR36</f>
        <v>5.0333333333333341</v>
      </c>
      <c r="E71" s="41">
        <f>'Report Book'!CR37</f>
        <v>21.092777777777773</v>
      </c>
    </row>
    <row r="72" spans="1:5" hidden="1">
      <c r="A72" s="49" t="s">
        <v>26</v>
      </c>
      <c r="B72" s="38" t="s">
        <v>6</v>
      </c>
      <c r="C72" s="44">
        <f>'Report Book'!CS35</f>
        <v>170</v>
      </c>
      <c r="D72" s="44">
        <f>'Report Book'!CS36</f>
        <v>75</v>
      </c>
      <c r="E72" s="45">
        <f>'Report Book'!CS37</f>
        <v>116.83333333333333</v>
      </c>
    </row>
    <row r="73" spans="1:5" hidden="1">
      <c r="A73" s="49" t="s">
        <v>27</v>
      </c>
      <c r="B73" s="38" t="s">
        <v>0</v>
      </c>
      <c r="C73" s="40">
        <f>'Report Book'!CT35</f>
        <v>7.8966666666666656</v>
      </c>
      <c r="D73" s="40">
        <f>'Report Book'!CT36</f>
        <v>7.5200000000000005</v>
      </c>
      <c r="E73" s="41">
        <f>'Report Book'!CT37</f>
        <v>7.6741666666666672</v>
      </c>
    </row>
    <row r="74" spans="1:5" hidden="1">
      <c r="A74" s="49" t="s">
        <v>27</v>
      </c>
      <c r="B74" s="38" t="s">
        <v>1</v>
      </c>
      <c r="C74" s="44">
        <f>'Report Book'!CU35</f>
        <v>1779.3333333333333</v>
      </c>
      <c r="D74" s="44">
        <f>'Report Book'!CU36</f>
        <v>1341.5</v>
      </c>
      <c r="E74" s="45">
        <f>'Report Book'!CU37</f>
        <v>1535.5</v>
      </c>
    </row>
    <row r="75" spans="1:5" hidden="1">
      <c r="A75" s="49" t="s">
        <v>27</v>
      </c>
      <c r="B75" s="38" t="s">
        <v>2</v>
      </c>
      <c r="C75" s="44">
        <f>'Report Book'!CV35</f>
        <v>492.5</v>
      </c>
      <c r="D75" s="44">
        <f>'Report Book'!CV36</f>
        <v>392.66666666666669</v>
      </c>
      <c r="E75" s="45">
        <f>'Report Book'!CV37</f>
        <v>446.61111111111109</v>
      </c>
    </row>
    <row r="76" spans="1:5" hidden="1">
      <c r="A76" s="49" t="s">
        <v>27</v>
      </c>
      <c r="B76" s="38" t="s">
        <v>3</v>
      </c>
      <c r="C76" s="44">
        <f>'Report Book'!CW35</f>
        <v>42</v>
      </c>
      <c r="D76" s="44">
        <f>'Report Book'!CW36</f>
        <v>39</v>
      </c>
      <c r="E76" s="45">
        <f>'Report Book'!CW37</f>
        <v>40</v>
      </c>
    </row>
    <row r="77" spans="1:5" hidden="1">
      <c r="A77" s="49" t="s">
        <v>27</v>
      </c>
      <c r="B77" s="38" t="s">
        <v>12</v>
      </c>
      <c r="C77" s="44">
        <f>'Report Book'!CX35</f>
        <v>132</v>
      </c>
      <c r="D77" s="44">
        <f>'Report Book'!CX36</f>
        <v>40</v>
      </c>
      <c r="E77" s="45">
        <f>'Report Book'!CX37</f>
        <v>80</v>
      </c>
    </row>
    <row r="78" spans="1:5" hidden="1">
      <c r="A78" s="49" t="s">
        <v>27</v>
      </c>
      <c r="B78" s="38" t="s">
        <v>4</v>
      </c>
      <c r="C78" s="44">
        <f>'Report Book'!CY35</f>
        <v>166.66666666666666</v>
      </c>
      <c r="D78" s="44">
        <f>'Report Book'!CY36</f>
        <v>115.33333333333333</v>
      </c>
      <c r="E78" s="45">
        <f>'Report Book'!CY37</f>
        <v>132.16666666666666</v>
      </c>
    </row>
    <row r="79" spans="1:5" hidden="1">
      <c r="A79" s="49" t="s">
        <v>27</v>
      </c>
      <c r="B79" s="38" t="s">
        <v>7</v>
      </c>
      <c r="C79" s="44">
        <f>'Report Book'!CZ35</f>
        <v>34.049999999999997</v>
      </c>
      <c r="D79" s="44">
        <f>'Report Book'!CZ36</f>
        <v>4.7666666666666666</v>
      </c>
      <c r="E79" s="45">
        <f>'Report Book'!CZ37</f>
        <v>20.452777777777772</v>
      </c>
    </row>
    <row r="80" spans="1:5" hidden="1">
      <c r="A80" s="49" t="s">
        <v>28</v>
      </c>
      <c r="B80" s="38" t="s">
        <v>0</v>
      </c>
      <c r="C80" s="40">
        <f>'Report Book'!DX35</f>
        <v>7.95</v>
      </c>
      <c r="D80" s="40">
        <f>'Report Book'!DX36</f>
        <v>7.5250000000000004</v>
      </c>
      <c r="E80" s="41">
        <f>'Report Book'!DX37</f>
        <v>7.7441666666666658</v>
      </c>
    </row>
    <row r="81" spans="1:5" hidden="1">
      <c r="A81" s="49" t="s">
        <v>28</v>
      </c>
      <c r="B81" s="38" t="s">
        <v>1</v>
      </c>
      <c r="C81" s="44">
        <f>'Report Book'!DY35</f>
        <v>1639.6666666666667</v>
      </c>
      <c r="D81" s="44">
        <f>'Report Book'!DY36</f>
        <v>1380</v>
      </c>
      <c r="E81" s="45">
        <f>'Report Book'!DY37</f>
        <v>1501.6944444444446</v>
      </c>
    </row>
    <row r="82" spans="1:5" hidden="1">
      <c r="A82" s="49" t="s">
        <v>28</v>
      </c>
      <c r="B82" s="38" t="s">
        <v>2</v>
      </c>
      <c r="C82" s="44">
        <f>'Report Book'!DZ35</f>
        <v>466</v>
      </c>
      <c r="D82" s="44">
        <f>'Report Book'!DZ36</f>
        <v>392.66666666666669</v>
      </c>
      <c r="E82" s="45">
        <f>'Report Book'!DZ37</f>
        <v>434.33333333333326</v>
      </c>
    </row>
    <row r="83" spans="1:5" hidden="1">
      <c r="A83" s="49" t="s">
        <v>28</v>
      </c>
      <c r="B83" s="38" t="s">
        <v>3</v>
      </c>
      <c r="C83" s="44">
        <f>'Report Book'!EA35</f>
        <v>33</v>
      </c>
      <c r="D83" s="44">
        <f>'Report Book'!EA36</f>
        <v>24</v>
      </c>
      <c r="E83" s="45">
        <f>'Report Book'!EA37</f>
        <v>26.5</v>
      </c>
    </row>
    <row r="84" spans="1:5" hidden="1">
      <c r="A84" s="49" t="s">
        <v>28</v>
      </c>
      <c r="B84" s="38" t="s">
        <v>4</v>
      </c>
      <c r="C84" s="44">
        <f>'Report Book'!EB35</f>
        <v>164</v>
      </c>
      <c r="D84" s="44">
        <f>'Report Book'!EB36</f>
        <v>118</v>
      </c>
      <c r="E84" s="45">
        <f>'Report Book'!EB37</f>
        <v>129.58333333333334</v>
      </c>
    </row>
    <row r="85" spans="1:5" hidden="1">
      <c r="A85" s="49" t="s">
        <v>28</v>
      </c>
      <c r="B85" s="38" t="s">
        <v>12</v>
      </c>
      <c r="C85" s="44">
        <f>'Report Book'!EC35</f>
        <v>130</v>
      </c>
      <c r="D85" s="44">
        <f>'Report Book'!EC36</f>
        <v>39</v>
      </c>
      <c r="E85" s="45">
        <f>'Report Book'!EC37</f>
        <v>85.333333333333329</v>
      </c>
    </row>
    <row r="86" spans="1:5" hidden="1">
      <c r="A86" s="49" t="s">
        <v>28</v>
      </c>
      <c r="B86" s="38" t="s">
        <v>7</v>
      </c>
      <c r="C86" s="44">
        <f>'Report Book'!ED35</f>
        <v>29.9</v>
      </c>
      <c r="D86" s="44">
        <f>'Report Book'!ED36</f>
        <v>8.2000000000000011</v>
      </c>
      <c r="E86" s="45">
        <f>'Report Book'!ED37</f>
        <v>19.494444444444444</v>
      </c>
    </row>
    <row r="87" spans="1:5" hidden="1">
      <c r="A87" s="49" t="s">
        <v>28</v>
      </c>
      <c r="B87" s="38" t="s">
        <v>6</v>
      </c>
      <c r="C87" s="44">
        <f>'Report Book'!EE35</f>
        <v>165</v>
      </c>
      <c r="D87" s="44">
        <f>'Report Book'!EE36</f>
        <v>115</v>
      </c>
      <c r="E87" s="45">
        <f>'Report Book'!EE37</f>
        <v>135.91666666666666</v>
      </c>
    </row>
    <row r="88" spans="1:5" hidden="1">
      <c r="A88" s="49" t="s">
        <v>28</v>
      </c>
      <c r="B88" s="38" t="s">
        <v>37</v>
      </c>
      <c r="C88" s="44">
        <f>'Report Book'!EF35</f>
        <v>3015</v>
      </c>
      <c r="D88" s="44">
        <f>'Report Book'!EF36</f>
        <v>917.66666666666663</v>
      </c>
      <c r="E88" s="45">
        <f>'Report Book'!EF37</f>
        <v>2171.25</v>
      </c>
    </row>
    <row r="89" spans="1:5" hidden="1">
      <c r="A89" s="49" t="s">
        <v>29</v>
      </c>
      <c r="B89" s="38" t="s">
        <v>0</v>
      </c>
      <c r="C89" s="40">
        <f>'Report Book'!EG35</f>
        <v>8.1300000000000008</v>
      </c>
      <c r="D89" s="40">
        <f>'Report Book'!EG36</f>
        <v>5.41</v>
      </c>
      <c r="E89" s="41">
        <f>'Report Book'!EG37</f>
        <v>7.0133333333333345</v>
      </c>
    </row>
    <row r="90" spans="1:5" hidden="1">
      <c r="A90" s="49" t="s">
        <v>29</v>
      </c>
      <c r="B90" s="38" t="s">
        <v>1</v>
      </c>
      <c r="C90" s="44">
        <f>'Report Book'!EH35</f>
        <v>1745.6666666666667</v>
      </c>
      <c r="D90" s="44">
        <f>'Report Book'!EH36</f>
        <v>1395</v>
      </c>
      <c r="E90" s="45">
        <f>'Report Book'!EH37</f>
        <v>1529.5</v>
      </c>
    </row>
    <row r="91" spans="1:5" hidden="1">
      <c r="A91" s="49" t="s">
        <v>29</v>
      </c>
      <c r="B91" s="38" t="s">
        <v>2</v>
      </c>
      <c r="C91" s="44">
        <f>'Report Book'!EI35</f>
        <v>449</v>
      </c>
      <c r="D91" s="44">
        <f>'Report Book'!EI36</f>
        <v>372.66666666666669</v>
      </c>
      <c r="E91" s="45">
        <f>'Report Book'!EI37</f>
        <v>412.22222222222217</v>
      </c>
    </row>
    <row r="92" spans="1:5" hidden="1">
      <c r="A92" s="49" t="s">
        <v>29</v>
      </c>
      <c r="B92" s="38" t="s">
        <v>3</v>
      </c>
      <c r="C92" s="44">
        <f>'Report Book'!EJ35</f>
        <v>27</v>
      </c>
      <c r="D92" s="44">
        <f>'Report Book'!EJ36</f>
        <v>27</v>
      </c>
      <c r="E92" s="45">
        <f>'Report Book'!EJ37</f>
        <v>27</v>
      </c>
    </row>
    <row r="93" spans="1:5" hidden="1">
      <c r="A93" s="49" t="s">
        <v>29</v>
      </c>
      <c r="B93" s="38" t="s">
        <v>4</v>
      </c>
      <c r="C93" s="44">
        <f>'Report Book'!EK35</f>
        <v>150</v>
      </c>
      <c r="D93" s="44">
        <f>'Report Book'!EK36</f>
        <v>111.33333333333333</v>
      </c>
      <c r="E93" s="45">
        <f>'Report Book'!EK37</f>
        <v>121.11111111111113</v>
      </c>
    </row>
    <row r="94" spans="1:5" hidden="1">
      <c r="A94" s="49" t="s">
        <v>29</v>
      </c>
      <c r="B94" s="38" t="s">
        <v>12</v>
      </c>
      <c r="C94" s="40">
        <f>'Report Book'!EL35</f>
        <v>10</v>
      </c>
      <c r="D94" s="40">
        <f>'Report Book'!EL36</f>
        <v>3</v>
      </c>
      <c r="E94" s="41">
        <f>'Report Book'!EL37</f>
        <v>4.5999999999999996</v>
      </c>
    </row>
    <row r="95" spans="1:5" hidden="1">
      <c r="A95" s="49" t="s">
        <v>29</v>
      </c>
      <c r="B95" s="38" t="s">
        <v>7</v>
      </c>
      <c r="C95" s="40">
        <f>'Report Book'!EM35</f>
        <v>1.5649999999999999</v>
      </c>
      <c r="D95" s="40">
        <f>'Report Book'!EM36</f>
        <v>0.65</v>
      </c>
      <c r="E95" s="41">
        <f>'Report Book'!EM37</f>
        <v>1.1719444444444445</v>
      </c>
    </row>
    <row r="96" spans="1:5" hidden="1">
      <c r="A96" s="49" t="s">
        <v>29</v>
      </c>
      <c r="B96" s="38" t="s">
        <v>6</v>
      </c>
      <c r="C96" s="44">
        <f>'Report Book'!EN35</f>
        <v>153.33333333333334</v>
      </c>
      <c r="D96" s="44">
        <f>'Report Book'!EN36</f>
        <v>100</v>
      </c>
      <c r="E96" s="45">
        <f>'Report Book'!EN37</f>
        <v>117.72222222222223</v>
      </c>
    </row>
    <row r="97" spans="1:5" hidden="1">
      <c r="A97" s="49" t="s">
        <v>29</v>
      </c>
      <c r="B97" s="38" t="s">
        <v>37</v>
      </c>
      <c r="C97" s="44">
        <f>'Report Book'!EO35</f>
        <v>540</v>
      </c>
      <c r="D97" s="44">
        <f>'Report Book'!EO36</f>
        <v>298</v>
      </c>
      <c r="E97" s="45">
        <f>'Report Book'!EO37</f>
        <v>392.5555555555556</v>
      </c>
    </row>
    <row r="98" spans="1:5" hidden="1">
      <c r="A98" s="49" t="s">
        <v>30</v>
      </c>
      <c r="B98" s="38" t="s">
        <v>0</v>
      </c>
      <c r="C98" s="40">
        <f>'Report Book'!EP35</f>
        <v>7.7899999999999991</v>
      </c>
      <c r="D98" s="40">
        <f>'Report Book'!EP36</f>
        <v>4.88</v>
      </c>
      <c r="E98" s="41">
        <f>'Report Book'!EP37</f>
        <v>6.38</v>
      </c>
    </row>
    <row r="99" spans="1:5" hidden="1">
      <c r="A99" s="49" t="s">
        <v>30</v>
      </c>
      <c r="B99" s="38" t="s">
        <v>1</v>
      </c>
      <c r="C99" s="44">
        <f>'Report Book'!EQ35</f>
        <v>1666</v>
      </c>
      <c r="D99" s="44">
        <f>'Report Book'!EQ36</f>
        <v>1369</v>
      </c>
      <c r="E99" s="45">
        <f>'Report Book'!EQ37</f>
        <v>1523.1666666666667</v>
      </c>
    </row>
    <row r="100" spans="1:5" hidden="1">
      <c r="A100" s="49" t="s">
        <v>30</v>
      </c>
      <c r="B100" s="38" t="s">
        <v>2</v>
      </c>
      <c r="C100" s="44">
        <f>'Report Book'!ER35</f>
        <v>433</v>
      </c>
      <c r="D100" s="44">
        <f>'Report Book'!ER36</f>
        <v>366.66666666666669</v>
      </c>
      <c r="E100" s="45">
        <f>'Report Book'!ER37</f>
        <v>401.22222222222223</v>
      </c>
    </row>
    <row r="101" spans="1:5" hidden="1">
      <c r="A101" s="49" t="s">
        <v>30</v>
      </c>
      <c r="B101" s="38" t="s">
        <v>4</v>
      </c>
      <c r="C101" s="44">
        <f>'Report Book'!ES35</f>
        <v>148.66666666666666</v>
      </c>
      <c r="D101" s="44">
        <f>'Report Book'!ES36</f>
        <v>109</v>
      </c>
      <c r="E101" s="45">
        <f>'Report Book'!ES37</f>
        <v>117.83333333333333</v>
      </c>
    </row>
    <row r="102" spans="1:5" hidden="1">
      <c r="A102" s="49" t="s">
        <v>30</v>
      </c>
      <c r="B102" s="38" t="s">
        <v>12</v>
      </c>
      <c r="C102" s="44">
        <f>'Report Book'!ET35</f>
        <v>8</v>
      </c>
      <c r="D102" s="44">
        <f>'Report Book'!ET36</f>
        <v>2</v>
      </c>
      <c r="E102" s="45">
        <f>'Report Book'!ET37</f>
        <v>5.6</v>
      </c>
    </row>
    <row r="103" spans="1:5" hidden="1">
      <c r="A103" s="49" t="s">
        <v>30</v>
      </c>
      <c r="B103" s="38" t="s">
        <v>6</v>
      </c>
      <c r="C103" s="44">
        <f>'Report Book'!EU35</f>
        <v>151.66666666666666</v>
      </c>
      <c r="D103" s="44">
        <f>'Report Book'!EU36</f>
        <v>80</v>
      </c>
      <c r="E103" s="45">
        <f>'Report Book'!EU37</f>
        <v>110.16666666666667</v>
      </c>
    </row>
    <row r="104" spans="1:5" hidden="1">
      <c r="A104" s="49" t="s">
        <v>30</v>
      </c>
      <c r="B104" s="38" t="s">
        <v>37</v>
      </c>
      <c r="C104" s="44">
        <f>'Report Book'!EV35</f>
        <v>569.66666666666663</v>
      </c>
      <c r="D104" s="44">
        <f>'Report Book'!EV36</f>
        <v>30</v>
      </c>
      <c r="E104" s="45">
        <f>'Report Book'!EV37</f>
        <v>274.38888888888886</v>
      </c>
    </row>
    <row r="105" spans="1:5" hidden="1">
      <c r="A105" s="49" t="s">
        <v>31</v>
      </c>
      <c r="B105" s="38" t="s">
        <v>0</v>
      </c>
      <c r="C105" s="40">
        <f>'Report Book'!EW35</f>
        <v>6.919999999999999</v>
      </c>
      <c r="D105" s="40">
        <f>'Report Book'!EW36</f>
        <v>4.21</v>
      </c>
      <c r="E105" s="41">
        <f>'Report Book'!EW37</f>
        <v>5.8166666666666664</v>
      </c>
    </row>
    <row r="106" spans="1:5" hidden="1">
      <c r="A106" s="49" t="s">
        <v>31</v>
      </c>
      <c r="B106" s="38" t="s">
        <v>1</v>
      </c>
      <c r="C106" s="44">
        <f>'Report Book'!EX35</f>
        <v>74.239999999999995</v>
      </c>
      <c r="D106" s="44">
        <f>'Report Book'!EX36</f>
        <v>62.986666666666657</v>
      </c>
      <c r="E106" s="45">
        <f>'Report Book'!EX37</f>
        <v>70.72</v>
      </c>
    </row>
    <row r="107" spans="1:5" hidden="1">
      <c r="A107" s="49" t="s">
        <v>31</v>
      </c>
      <c r="B107" s="38" t="s">
        <v>2</v>
      </c>
      <c r="C107" s="44">
        <f>'Report Book'!EY35</f>
        <v>20</v>
      </c>
      <c r="D107" s="44">
        <f>'Report Book'!EY36</f>
        <v>4</v>
      </c>
      <c r="E107" s="45">
        <f>'Report Book'!EY37</f>
        <v>15.555555555555557</v>
      </c>
    </row>
    <row r="108" spans="1:5" hidden="1">
      <c r="A108" s="49" t="s">
        <v>31</v>
      </c>
      <c r="B108" s="38" t="s">
        <v>3</v>
      </c>
      <c r="C108" s="44">
        <f>'Report Book'!EZ35</f>
        <v>4</v>
      </c>
      <c r="D108" s="44">
        <f>'Report Book'!EZ36</f>
        <v>2</v>
      </c>
      <c r="E108" s="45">
        <f>'Report Book'!EZ37</f>
        <v>2.6</v>
      </c>
    </row>
    <row r="109" spans="1:5" hidden="1">
      <c r="A109" s="49" t="s">
        <v>31</v>
      </c>
      <c r="B109" s="38" t="s">
        <v>4</v>
      </c>
      <c r="C109" s="44">
        <f>'Report Book'!FA35</f>
        <v>7</v>
      </c>
      <c r="D109" s="44">
        <f>'Report Book'!FA36</f>
        <v>4.333333333333333</v>
      </c>
      <c r="E109" s="45">
        <f>'Report Book'!FA37</f>
        <v>5.4444444444444438</v>
      </c>
    </row>
    <row r="110" spans="1:5" hidden="1">
      <c r="A110" s="49" t="s">
        <v>31</v>
      </c>
      <c r="B110" s="38" t="s">
        <v>12</v>
      </c>
      <c r="C110" s="44">
        <f>'Report Book'!FB35</f>
        <v>2</v>
      </c>
      <c r="D110" s="44">
        <f>'Report Book'!FB36</f>
        <v>2</v>
      </c>
      <c r="E110" s="45">
        <f>'Report Book'!FB37</f>
        <v>2</v>
      </c>
    </row>
    <row r="111" spans="1:5" hidden="1">
      <c r="A111" s="49" t="s">
        <v>31</v>
      </c>
      <c r="B111" s="38" t="s">
        <v>6</v>
      </c>
      <c r="C111" s="44">
        <f>'Report Book'!FC35</f>
        <v>8</v>
      </c>
      <c r="D111" s="44">
        <f>'Report Book'!FC36</f>
        <v>4</v>
      </c>
      <c r="E111" s="45">
        <f>'Report Book'!FC37</f>
        <v>6.0555555555555562</v>
      </c>
    </row>
    <row r="112" spans="1:5" hidden="1">
      <c r="A112" s="49" t="s">
        <v>31</v>
      </c>
      <c r="B112" s="38" t="s">
        <v>37</v>
      </c>
      <c r="C112" s="44">
        <f>'Report Book'!FD35</f>
        <v>11.49</v>
      </c>
      <c r="D112" s="44">
        <f>'Report Book'!FD36</f>
        <v>6.3846666666666669</v>
      </c>
      <c r="E112" s="45">
        <f>'Report Book'!FD37</f>
        <v>10.128111111111112</v>
      </c>
    </row>
    <row r="113" spans="1:5" hidden="1">
      <c r="A113" s="49" t="s">
        <v>129</v>
      </c>
      <c r="B113" s="38" t="s">
        <v>0</v>
      </c>
      <c r="C113" s="40">
        <f>'Report Book'!FE35</f>
        <v>7.26</v>
      </c>
      <c r="D113" s="40">
        <f>'Report Book'!FE36</f>
        <v>5.17</v>
      </c>
      <c r="E113" s="41">
        <f>'Report Book'!FE37</f>
        <v>6.4322222222222223</v>
      </c>
    </row>
    <row r="114" spans="1:5" hidden="1">
      <c r="A114" s="49" t="s">
        <v>129</v>
      </c>
      <c r="B114" s="38" t="s">
        <v>1</v>
      </c>
      <c r="C114" s="44">
        <f>'Report Book'!FF35</f>
        <v>6268.333333333333</v>
      </c>
      <c r="D114" s="44">
        <f>'Report Book'!FF36</f>
        <v>4236</v>
      </c>
      <c r="E114" s="45">
        <f>'Report Book'!FF37</f>
        <v>5548.7222222222217</v>
      </c>
    </row>
    <row r="115" spans="1:5" hidden="1">
      <c r="A115" s="49" t="s">
        <v>129</v>
      </c>
      <c r="B115" s="38" t="s">
        <v>2</v>
      </c>
      <c r="C115" s="44">
        <f>'Report Book'!FG35</f>
        <v>1713</v>
      </c>
      <c r="D115" s="44">
        <f>'Report Book'!FG36</f>
        <v>1280.6666666666667</v>
      </c>
      <c r="E115" s="45">
        <f>'Report Book'!FG37</f>
        <v>1504.2222222222224</v>
      </c>
    </row>
    <row r="116" spans="1:5" hidden="1">
      <c r="A116" s="49" t="s">
        <v>129</v>
      </c>
      <c r="B116" s="38" t="s">
        <v>4</v>
      </c>
      <c r="C116" s="44">
        <f>'Report Book'!FH35</f>
        <v>509</v>
      </c>
      <c r="D116" s="44">
        <f>'Report Book'!FH36</f>
        <v>174</v>
      </c>
      <c r="E116" s="45">
        <f>'Report Book'!FH37</f>
        <v>344.77777777777777</v>
      </c>
    </row>
    <row r="117" spans="1:5" hidden="1">
      <c r="A117" s="49" t="s">
        <v>129</v>
      </c>
      <c r="B117" s="38" t="s">
        <v>12</v>
      </c>
      <c r="C117" s="44">
        <f>'Report Book'!FI35</f>
        <v>18</v>
      </c>
      <c r="D117" s="44">
        <f>'Report Book'!FI36</f>
        <v>8</v>
      </c>
      <c r="E117" s="45">
        <f>'Report Book'!FI37</f>
        <v>13.166666666666666</v>
      </c>
    </row>
    <row r="118" spans="1:5" hidden="1">
      <c r="A118" s="49" t="s">
        <v>129</v>
      </c>
      <c r="B118" s="38" t="s">
        <v>6</v>
      </c>
      <c r="C118" s="44">
        <f>'Report Book'!FJ35</f>
        <v>460.33333333333331</v>
      </c>
      <c r="D118" s="44">
        <f>'Report Book'!FJ36</f>
        <v>250</v>
      </c>
      <c r="E118" s="45">
        <f>'Report Book'!FJ37</f>
        <v>355.77777777777777</v>
      </c>
    </row>
    <row r="119" spans="1:5" hidden="1">
      <c r="A119" s="49" t="s">
        <v>129</v>
      </c>
      <c r="B119" s="38" t="s">
        <v>7</v>
      </c>
      <c r="C119" s="40">
        <f>'Report Book'!FK35</f>
        <v>9.3533333333333335</v>
      </c>
      <c r="D119" s="40">
        <f>'Report Book'!FK36</f>
        <v>0.85666666666666658</v>
      </c>
      <c r="E119" s="41">
        <f>'Report Book'!FK37</f>
        <v>3.1616666666666666</v>
      </c>
    </row>
    <row r="120" spans="1:5" hidden="1">
      <c r="A120" s="49" t="s">
        <v>129</v>
      </c>
      <c r="B120" s="38" t="s">
        <v>37</v>
      </c>
      <c r="C120" s="44">
        <f>'Report Book'!FL35</f>
        <v>1840</v>
      </c>
      <c r="D120" s="44">
        <f>'Report Book'!FL36</f>
        <v>562.66666666666663</v>
      </c>
      <c r="E120" s="45">
        <f>'Report Book'!FL37</f>
        <v>1288.8888888888889</v>
      </c>
    </row>
    <row r="121" spans="1:5" hidden="1">
      <c r="A121" s="49" t="s">
        <v>130</v>
      </c>
      <c r="B121" s="38" t="s">
        <v>0</v>
      </c>
      <c r="C121" s="40">
        <f>'Report Book'!HB35</f>
        <v>7.5749999999999993</v>
      </c>
      <c r="D121" s="40">
        <f>'Report Book'!HB36</f>
        <v>7.4649999999999999</v>
      </c>
      <c r="E121" s="41">
        <f>'Report Book'!HB37</f>
        <v>7.52</v>
      </c>
    </row>
    <row r="122" spans="1:5" hidden="1">
      <c r="A122" s="49" t="s">
        <v>130</v>
      </c>
      <c r="B122" s="38" t="s">
        <v>1</v>
      </c>
      <c r="C122" s="44">
        <f>'Report Book'!HC35</f>
        <v>5709.5</v>
      </c>
      <c r="D122" s="44">
        <f>'Report Book'!HC36</f>
        <v>5021.5</v>
      </c>
      <c r="E122" s="45">
        <f>'Report Book'!HC37</f>
        <v>5365.5</v>
      </c>
    </row>
    <row r="123" spans="1:5" hidden="1">
      <c r="A123" s="49" t="s">
        <v>130</v>
      </c>
      <c r="B123" s="38" t="s">
        <v>2</v>
      </c>
      <c r="C123" s="44">
        <f>'Report Book'!HD35</f>
        <v>1503</v>
      </c>
      <c r="D123" s="44">
        <f>'Report Book'!HD36</f>
        <v>1186.5</v>
      </c>
      <c r="E123" s="45">
        <f>'Report Book'!HD37</f>
        <v>1344.75</v>
      </c>
    </row>
    <row r="124" spans="1:5" hidden="1">
      <c r="A124" s="49" t="s">
        <v>130</v>
      </c>
      <c r="B124" s="38" t="s">
        <v>4</v>
      </c>
      <c r="C124" s="44">
        <f>'Report Book'!HE35</f>
        <v>556.5</v>
      </c>
      <c r="D124" s="44">
        <f>'Report Book'!HE36</f>
        <v>396</v>
      </c>
      <c r="E124" s="45">
        <f>'Report Book'!HE37</f>
        <v>476.25</v>
      </c>
    </row>
    <row r="125" spans="1:5" hidden="1">
      <c r="A125" s="49" t="s">
        <v>130</v>
      </c>
      <c r="B125" s="38" t="s">
        <v>12</v>
      </c>
      <c r="C125" s="44">
        <f>'Report Book'!HF35</f>
        <v>22</v>
      </c>
      <c r="D125" s="44">
        <f>'Report Book'!HF36</f>
        <v>22</v>
      </c>
      <c r="E125" s="45">
        <f>'Report Book'!HF37</f>
        <v>22</v>
      </c>
    </row>
    <row r="126" spans="1:5" hidden="1">
      <c r="A126" s="49" t="s">
        <v>130</v>
      </c>
      <c r="B126" s="38" t="s">
        <v>6</v>
      </c>
      <c r="C126" s="44">
        <f>'Report Book'!HG35</f>
        <v>480</v>
      </c>
      <c r="D126" s="44">
        <f>'Report Book'!HG36</f>
        <v>375.5</v>
      </c>
      <c r="E126" s="45">
        <f>'Report Book'!HG37</f>
        <v>427.75</v>
      </c>
    </row>
    <row r="127" spans="1:5" hidden="1">
      <c r="A127" s="49" t="s">
        <v>130</v>
      </c>
      <c r="B127" s="38" t="s">
        <v>37</v>
      </c>
      <c r="C127" s="44">
        <f>'Report Book'!HH35</f>
        <v>2033</v>
      </c>
      <c r="D127" s="44">
        <f>'Report Book'!HH36</f>
        <v>527</v>
      </c>
      <c r="E127" s="45">
        <f>'Report Book'!HH37</f>
        <v>1280</v>
      </c>
    </row>
    <row r="128" spans="1:5" hidden="1">
      <c r="A128" s="49" t="s">
        <v>131</v>
      </c>
      <c r="B128" s="38" t="s">
        <v>0</v>
      </c>
      <c r="C128" s="40">
        <f>'Report Book'!HI35</f>
        <v>7.6550000000000002</v>
      </c>
      <c r="D128" s="40">
        <f>'Report Book'!HI36</f>
        <v>7.0350000000000001</v>
      </c>
      <c r="E128" s="41">
        <f>'Report Book'!HI37</f>
        <v>7.3450000000000006</v>
      </c>
    </row>
    <row r="129" spans="1:5" hidden="1">
      <c r="A129" s="49" t="s">
        <v>131</v>
      </c>
      <c r="B129" s="38" t="s">
        <v>1</v>
      </c>
      <c r="C129" s="44">
        <f>'Report Book'!HJ35</f>
        <v>1845.5</v>
      </c>
      <c r="D129" s="44">
        <f>'Report Book'!HJ36</f>
        <v>1464</v>
      </c>
      <c r="E129" s="45">
        <f>'Report Book'!HJ37</f>
        <v>1654.75</v>
      </c>
    </row>
    <row r="130" spans="1:5" hidden="1">
      <c r="A130" s="49" t="s">
        <v>131</v>
      </c>
      <c r="B130" s="38" t="s">
        <v>2</v>
      </c>
      <c r="C130" s="44">
        <f>'Report Book'!HK35</f>
        <v>289</v>
      </c>
      <c r="D130" s="44">
        <f>'Report Book'!HK36</f>
        <v>124</v>
      </c>
      <c r="E130" s="45">
        <f>'Report Book'!HK37</f>
        <v>206.5</v>
      </c>
    </row>
    <row r="131" spans="1:5" hidden="1">
      <c r="A131" s="49" t="s">
        <v>131</v>
      </c>
      <c r="B131" s="38" t="s">
        <v>3</v>
      </c>
      <c r="C131" s="44">
        <f>'Report Book'!HL35</f>
        <v>2</v>
      </c>
      <c r="D131" s="44">
        <f>'Report Book'!HL36</f>
        <v>2</v>
      </c>
      <c r="E131" s="45">
        <f>'Report Book'!HL37</f>
        <v>2</v>
      </c>
    </row>
    <row r="132" spans="1:5" hidden="1">
      <c r="A132" s="49" t="s">
        <v>131</v>
      </c>
      <c r="B132" s="38" t="s">
        <v>4</v>
      </c>
      <c r="C132" s="44">
        <f>'Report Book'!HM35</f>
        <v>139</v>
      </c>
      <c r="D132" s="44">
        <f>'Report Book'!HM36</f>
        <v>44.5</v>
      </c>
      <c r="E132" s="45">
        <f>'Report Book'!HM37</f>
        <v>91.75</v>
      </c>
    </row>
    <row r="133" spans="1:5" hidden="1">
      <c r="A133" s="49" t="s">
        <v>131</v>
      </c>
      <c r="B133" s="38" t="s">
        <v>12</v>
      </c>
      <c r="C133" s="44">
        <f>'Report Book'!HN35</f>
        <v>2</v>
      </c>
      <c r="D133" s="44">
        <f>'Report Book'!HN36</f>
        <v>2</v>
      </c>
      <c r="E133" s="45">
        <f>'Report Book'!HN37</f>
        <v>2</v>
      </c>
    </row>
    <row r="134" spans="1:5" hidden="1">
      <c r="A134" s="49" t="s">
        <v>131</v>
      </c>
      <c r="B134" s="38" t="s">
        <v>6</v>
      </c>
      <c r="C134" s="44">
        <f>'Report Book'!HO35</f>
        <v>69</v>
      </c>
      <c r="D134" s="44">
        <f>'Report Book'!HO36</f>
        <v>42</v>
      </c>
      <c r="E134" s="45">
        <f>'Report Book'!HO37</f>
        <v>55.5</v>
      </c>
    </row>
    <row r="135" spans="1:5" hidden="1">
      <c r="A135" s="49" t="s">
        <v>131</v>
      </c>
      <c r="B135" s="38" t="s">
        <v>37</v>
      </c>
      <c r="C135" s="44">
        <f>'Report Book'!HP35</f>
        <v>455</v>
      </c>
      <c r="D135" s="44">
        <f>'Report Book'!HP36</f>
        <v>142</v>
      </c>
      <c r="E135" s="45">
        <f>'Report Book'!HP37</f>
        <v>298.5</v>
      </c>
    </row>
    <row r="136" spans="1:5" hidden="1">
      <c r="A136" s="49" t="s">
        <v>132</v>
      </c>
      <c r="B136" s="38" t="s">
        <v>0</v>
      </c>
      <c r="C136" s="40">
        <f>'Report Book'!HQ35</f>
        <v>7.41</v>
      </c>
      <c r="D136" s="40">
        <f>'Report Book'!HQ36</f>
        <v>6.9450000000000003</v>
      </c>
      <c r="E136" s="41">
        <f>'Report Book'!HQ37</f>
        <v>7.1775000000000002</v>
      </c>
    </row>
    <row r="137" spans="1:5" hidden="1">
      <c r="A137" s="49" t="s">
        <v>132</v>
      </c>
      <c r="B137" s="38" t="s">
        <v>1</v>
      </c>
      <c r="C137" s="44">
        <f>'Report Book'!HR35</f>
        <v>9701</v>
      </c>
      <c r="D137" s="44">
        <f>'Report Book'!HR36</f>
        <v>9449.5</v>
      </c>
      <c r="E137" s="45">
        <f>'Report Book'!HR37</f>
        <v>9575.25</v>
      </c>
    </row>
    <row r="138" spans="1:5" hidden="1">
      <c r="A138" s="49" t="s">
        <v>132</v>
      </c>
      <c r="B138" s="38" t="s">
        <v>2</v>
      </c>
      <c r="C138" s="44">
        <f>'Report Book'!HS35</f>
        <v>2436.5</v>
      </c>
      <c r="D138" s="44">
        <f>'Report Book'!HS36</f>
        <v>1591.5</v>
      </c>
      <c r="E138" s="45">
        <f>'Report Book'!HS37</f>
        <v>2014</v>
      </c>
    </row>
    <row r="139" spans="1:5" hidden="1">
      <c r="A139" s="49" t="s">
        <v>132</v>
      </c>
      <c r="B139" s="38" t="s">
        <v>4</v>
      </c>
      <c r="C139" s="44">
        <f>'Report Book'!HT35</f>
        <v>864</v>
      </c>
      <c r="D139" s="44">
        <f>'Report Book'!HT36</f>
        <v>602</v>
      </c>
      <c r="E139" s="45">
        <f>'Report Book'!HT37</f>
        <v>733</v>
      </c>
    </row>
    <row r="140" spans="1:5" hidden="1">
      <c r="A140" s="49" t="s">
        <v>132</v>
      </c>
      <c r="B140" s="38" t="s">
        <v>12</v>
      </c>
      <c r="C140" s="44">
        <f>'Report Book'!HU35</f>
        <v>36</v>
      </c>
      <c r="D140" s="44">
        <f>'Report Book'!HU36</f>
        <v>24</v>
      </c>
      <c r="E140" s="45">
        <f>'Report Book'!HU37</f>
        <v>30</v>
      </c>
    </row>
    <row r="141" spans="1:5" hidden="1">
      <c r="A141" s="49" t="s">
        <v>132</v>
      </c>
      <c r="B141" s="38" t="s">
        <v>6</v>
      </c>
      <c r="C141" s="44">
        <f>'Report Book'!HV35</f>
        <v>1295</v>
      </c>
      <c r="D141" s="44">
        <f>'Report Book'!HV36</f>
        <v>570.5</v>
      </c>
      <c r="E141" s="45">
        <f>'Report Book'!HV37</f>
        <v>932.75</v>
      </c>
    </row>
    <row r="142" spans="1:5" hidden="1">
      <c r="A142" s="49" t="s">
        <v>132</v>
      </c>
      <c r="B142" s="38" t="s">
        <v>7</v>
      </c>
      <c r="C142" s="40">
        <f>'Report Book'!HW35</f>
        <v>0</v>
      </c>
      <c r="D142" s="40">
        <f>'Report Book'!HW36</f>
        <v>0</v>
      </c>
      <c r="E142" s="41" t="e">
        <f>'Report Book'!HW37</f>
        <v>#DIV/0!</v>
      </c>
    </row>
    <row r="143" spans="1:5" hidden="1">
      <c r="A143" s="49" t="s">
        <v>132</v>
      </c>
      <c r="B143" s="38" t="s">
        <v>37</v>
      </c>
      <c r="C143" s="44">
        <f>'Report Book'!HX35</f>
        <v>1574</v>
      </c>
      <c r="D143" s="44">
        <f>'Report Book'!HX36</f>
        <v>885</v>
      </c>
      <c r="E143" s="45">
        <f>'Report Book'!HX37</f>
        <v>1229.5</v>
      </c>
    </row>
    <row r="144" spans="1:5" hidden="1">
      <c r="A144" s="49" t="s">
        <v>32</v>
      </c>
      <c r="B144" s="38" t="s">
        <v>0</v>
      </c>
      <c r="C144" s="40">
        <f>'Report Book'!HY35</f>
        <v>7.17</v>
      </c>
      <c r="D144" s="40">
        <f>'Report Book'!HY36</f>
        <v>5.64</v>
      </c>
      <c r="E144" s="41">
        <f>'Report Book'!HY37</f>
        <v>6.5811111111111122</v>
      </c>
    </row>
    <row r="145" spans="1:5" hidden="1">
      <c r="A145" s="49" t="s">
        <v>32</v>
      </c>
      <c r="B145" s="38" t="s">
        <v>1</v>
      </c>
      <c r="C145" s="44">
        <f>'Report Book'!HZ35</f>
        <v>5645.666666666667</v>
      </c>
      <c r="D145" s="44">
        <f>'Report Book'!IG36</f>
        <v>495.56666666666666</v>
      </c>
      <c r="E145" s="45">
        <f>'Report Book'!IG37</f>
        <v>1028.8611111111111</v>
      </c>
    </row>
    <row r="146" spans="1:5" hidden="1">
      <c r="A146" s="49" t="s">
        <v>32</v>
      </c>
      <c r="B146" s="38" t="s">
        <v>2</v>
      </c>
      <c r="C146" s="44">
        <f>'Report Book'!IA35</f>
        <v>1672</v>
      </c>
      <c r="D146" s="44">
        <f>'Report Book'!IA36</f>
        <v>1128</v>
      </c>
      <c r="E146" s="45">
        <f>'Report Book'!IA37</f>
        <v>1491.0555555555554</v>
      </c>
    </row>
    <row r="147" spans="1:5" hidden="1">
      <c r="A147" s="49" t="s">
        <v>32</v>
      </c>
      <c r="B147" s="38" t="s">
        <v>4</v>
      </c>
      <c r="C147" s="44">
        <f>'Report Book'!IB35</f>
        <v>502</v>
      </c>
      <c r="D147" s="44">
        <f>'Report Book'!IB36</f>
        <v>167</v>
      </c>
      <c r="E147" s="45">
        <f>'Report Book'!IB37</f>
        <v>304.05555555555554</v>
      </c>
    </row>
    <row r="148" spans="1:5" hidden="1">
      <c r="A148" s="49" t="s">
        <v>32</v>
      </c>
      <c r="B148" s="38" t="s">
        <v>12</v>
      </c>
      <c r="C148" s="44">
        <f>'Report Book'!IC35</f>
        <v>18</v>
      </c>
      <c r="D148" s="44">
        <f>'Report Book'!IC36</f>
        <v>2</v>
      </c>
      <c r="E148" s="45">
        <f>'Report Book'!IC37</f>
        <v>13.6</v>
      </c>
    </row>
    <row r="149" spans="1:5" hidden="1">
      <c r="A149" s="49" t="s">
        <v>32</v>
      </c>
      <c r="B149" s="38" t="s">
        <v>6</v>
      </c>
      <c r="C149" s="44">
        <f>'Report Book'!ID35</f>
        <v>427</v>
      </c>
      <c r="D149" s="44">
        <f>'Report Book'!ID36</f>
        <v>265</v>
      </c>
      <c r="E149" s="45">
        <f>'Report Book'!ID37</f>
        <v>345</v>
      </c>
    </row>
    <row r="150" spans="1:5" hidden="1">
      <c r="A150" s="49" t="s">
        <v>32</v>
      </c>
      <c r="B150" s="38" t="s">
        <v>37</v>
      </c>
      <c r="C150" s="44">
        <f>'Report Book'!IE35</f>
        <v>1328.6666666666667</v>
      </c>
      <c r="D150" s="44">
        <f>'Report Book'!IE36</f>
        <v>526</v>
      </c>
      <c r="E150" s="45">
        <f>'Report Book'!IE37</f>
        <v>801.77777777777783</v>
      </c>
    </row>
    <row r="151" spans="1:5" hidden="1">
      <c r="A151" s="49" t="s">
        <v>33</v>
      </c>
      <c r="B151" s="38" t="s">
        <v>0</v>
      </c>
      <c r="C151" s="40">
        <f>'Report Book'!IF35</f>
        <v>8.6033333333333335</v>
      </c>
      <c r="D151" s="40">
        <f>'Report Book'!IF36</f>
        <v>5.44</v>
      </c>
      <c r="E151" s="41">
        <f>'Report Book'!IF37</f>
        <v>6.860555555555556</v>
      </c>
    </row>
    <row r="152" spans="1:5" hidden="1">
      <c r="A152" s="49" t="s">
        <v>33</v>
      </c>
      <c r="B152" s="38" t="s">
        <v>1</v>
      </c>
      <c r="C152" s="44">
        <f>'Report Book'!IG35</f>
        <v>1448</v>
      </c>
      <c r="D152" s="44">
        <f>'Report Book'!IG36</f>
        <v>495.56666666666666</v>
      </c>
      <c r="E152" s="45">
        <f>'Report Book'!IG37</f>
        <v>1028.8611111111111</v>
      </c>
    </row>
    <row r="153" spans="1:5" hidden="1">
      <c r="A153" s="49" t="s">
        <v>33</v>
      </c>
      <c r="B153" s="38" t="s">
        <v>2</v>
      </c>
      <c r="C153" s="44">
        <f>'Report Book'!IH35</f>
        <v>228</v>
      </c>
      <c r="D153" s="44">
        <f>'Report Book'!IH36</f>
        <v>67.666666666666671</v>
      </c>
      <c r="E153" s="45">
        <f>'Report Book'!IH37</f>
        <v>126.6111111111111</v>
      </c>
    </row>
    <row r="154" spans="1:5" hidden="1">
      <c r="A154" s="49" t="s">
        <v>33</v>
      </c>
      <c r="B154" s="38" t="s">
        <v>3</v>
      </c>
      <c r="C154" s="44">
        <f>'Report Book'!II35</f>
        <v>2</v>
      </c>
      <c r="D154" s="44">
        <f>'Report Book'!II36</f>
        <v>2</v>
      </c>
      <c r="E154" s="45">
        <f>'Report Book'!II37</f>
        <v>2</v>
      </c>
    </row>
    <row r="155" spans="1:5" hidden="1">
      <c r="A155" s="49" t="s">
        <v>33</v>
      </c>
      <c r="B155" s="38" t="s">
        <v>4</v>
      </c>
      <c r="C155" s="44">
        <f>'Report Book'!IJ35</f>
        <v>93</v>
      </c>
      <c r="D155" s="44">
        <f>'Report Book'!IJ36</f>
        <v>25</v>
      </c>
      <c r="E155" s="45">
        <f>'Report Book'!IJ37</f>
        <v>48.388888888888893</v>
      </c>
    </row>
    <row r="156" spans="1:5" hidden="1">
      <c r="A156" s="49" t="s">
        <v>33</v>
      </c>
      <c r="B156" s="38" t="s">
        <v>12</v>
      </c>
      <c r="C156" s="44">
        <f>'Report Book'!IK35</f>
        <v>2</v>
      </c>
      <c r="D156" s="44">
        <f>'Report Book'!IK36</f>
        <v>2</v>
      </c>
      <c r="E156" s="45">
        <f>'Report Book'!IK37</f>
        <v>2</v>
      </c>
    </row>
    <row r="157" spans="1:5" hidden="1">
      <c r="A157" s="49" t="s">
        <v>33</v>
      </c>
      <c r="B157" s="38" t="s">
        <v>6</v>
      </c>
      <c r="C157" s="44">
        <f>'Report Book'!IL35</f>
        <v>320</v>
      </c>
      <c r="D157" s="44">
        <f>'Report Book'!IL36</f>
        <v>17.333333333333332</v>
      </c>
      <c r="E157" s="45">
        <f>'Report Book'!IL37</f>
        <v>90.8888888888889</v>
      </c>
    </row>
    <row r="158" spans="1:5" hidden="1">
      <c r="A158" s="49" t="s">
        <v>33</v>
      </c>
      <c r="B158" s="38" t="s">
        <v>37</v>
      </c>
      <c r="C158" s="44">
        <f>'Report Book'!IM35</f>
        <v>562</v>
      </c>
      <c r="D158" s="44">
        <f>'Report Book'!IM36</f>
        <v>48.906666666666666</v>
      </c>
      <c r="E158" s="45">
        <f>'Report Book'!IM37</f>
        <v>162.70711111111112</v>
      </c>
    </row>
    <row r="159" spans="1:5" hidden="1">
      <c r="A159" s="49" t="s">
        <v>34</v>
      </c>
      <c r="B159" s="38" t="s">
        <v>0</v>
      </c>
      <c r="C159" s="40">
        <f>'Report Book'!IN35</f>
        <v>7.8599999999999994</v>
      </c>
      <c r="D159" s="40">
        <f>'Report Book'!IN36</f>
        <v>6.71</v>
      </c>
      <c r="E159" s="41">
        <f>'Report Book'!IN37</f>
        <v>7.23</v>
      </c>
    </row>
    <row r="160" spans="1:5" hidden="1">
      <c r="A160" s="49" t="s">
        <v>34</v>
      </c>
      <c r="B160" s="38" t="s">
        <v>1</v>
      </c>
      <c r="C160" s="44">
        <f>'Report Book'!IO35</f>
        <v>12090</v>
      </c>
      <c r="D160" s="44">
        <f>'Report Book'!IO36</f>
        <v>7890</v>
      </c>
      <c r="E160" s="45">
        <f>'Report Book'!IO37</f>
        <v>9464</v>
      </c>
    </row>
    <row r="161" spans="1:5" hidden="1">
      <c r="A161" s="49" t="s">
        <v>34</v>
      </c>
      <c r="B161" s="38" t="s">
        <v>2</v>
      </c>
      <c r="C161" s="44">
        <f>'Report Book'!IP35</f>
        <v>2244</v>
      </c>
      <c r="D161" s="44">
        <f>'Report Book'!IP36</f>
        <v>264</v>
      </c>
      <c r="E161" s="45">
        <f>'Report Book'!IP37</f>
        <v>1758.2777777777776</v>
      </c>
    </row>
    <row r="162" spans="1:5" hidden="1">
      <c r="A162" s="49" t="s">
        <v>34</v>
      </c>
      <c r="B162" s="38" t="s">
        <v>4</v>
      </c>
      <c r="C162" s="44">
        <f>'Report Book'!IQ35</f>
        <v>844</v>
      </c>
      <c r="D162" s="44">
        <f>'Report Book'!IQ36</f>
        <v>414</v>
      </c>
      <c r="E162" s="45">
        <f>'Report Book'!IQ37</f>
        <v>568.66666666666663</v>
      </c>
    </row>
    <row r="163" spans="1:5" hidden="1">
      <c r="A163" s="49" t="s">
        <v>34</v>
      </c>
      <c r="B163" s="38" t="s">
        <v>12</v>
      </c>
      <c r="C163" s="44">
        <f>'Report Book'!IR35</f>
        <v>34</v>
      </c>
      <c r="D163" s="44">
        <f>'Report Book'!IR36</f>
        <v>6</v>
      </c>
      <c r="E163" s="45">
        <f>'Report Book'!IR37</f>
        <v>22.5</v>
      </c>
    </row>
    <row r="164" spans="1:5" hidden="1">
      <c r="A164" s="49" t="s">
        <v>34</v>
      </c>
      <c r="B164" s="38" t="s">
        <v>6</v>
      </c>
      <c r="C164" s="44">
        <f>'Report Book'!IS35</f>
        <v>844</v>
      </c>
      <c r="D164" s="44">
        <f>'Report Book'!IS36</f>
        <v>425</v>
      </c>
      <c r="E164" s="45">
        <f>'Report Book'!IS37</f>
        <v>633.72222222222229</v>
      </c>
    </row>
    <row r="165" spans="1:5" hidden="1">
      <c r="A165" s="49" t="s">
        <v>34</v>
      </c>
      <c r="B165" s="38" t="s">
        <v>37</v>
      </c>
      <c r="C165" s="44">
        <f>'Report Book'!IT35</f>
        <v>1511.3333333333333</v>
      </c>
      <c r="D165" s="44">
        <f>'Report Book'!IT36</f>
        <v>750</v>
      </c>
      <c r="E165" s="45">
        <f>'Report Book'!IT37</f>
        <v>998.72222222222217</v>
      </c>
    </row>
    <row r="166" spans="1:5" hidden="1">
      <c r="A166" s="49" t="s">
        <v>14</v>
      </c>
      <c r="B166" s="38" t="s">
        <v>0</v>
      </c>
      <c r="C166" s="40">
        <f>'Report Book'!IU35</f>
        <v>8.0966666666666658</v>
      </c>
      <c r="D166" s="40">
        <f>'Report Book'!IU36</f>
        <v>6.1050000000000004</v>
      </c>
      <c r="E166" s="41">
        <f>'Report Book'!IU37</f>
        <v>7.3547222222222226</v>
      </c>
    </row>
    <row r="167" spans="1:5" hidden="1">
      <c r="A167" s="49" t="s">
        <v>14</v>
      </c>
      <c r="B167" s="38" t="s">
        <v>1</v>
      </c>
      <c r="C167" s="44">
        <f>'Report Book'!IV35</f>
        <v>1613.3333333333333</v>
      </c>
      <c r="D167" s="44">
        <f>'Report Book'!IV36</f>
        <v>1376.5</v>
      </c>
      <c r="E167" s="45">
        <f>'Report Book'!IV37</f>
        <v>1510.25</v>
      </c>
    </row>
    <row r="168" spans="1:5" hidden="1">
      <c r="A168" s="49" t="s">
        <v>14</v>
      </c>
      <c r="B168" s="38" t="s">
        <v>2</v>
      </c>
      <c r="C168" s="44">
        <f>'Report Book'!IW35</f>
        <v>456</v>
      </c>
      <c r="D168" s="44">
        <f>'Report Book'!IW36</f>
        <v>368</v>
      </c>
      <c r="E168" s="45">
        <f>'Report Book'!IW37</f>
        <v>413.8055555555556</v>
      </c>
    </row>
    <row r="169" spans="1:5" hidden="1">
      <c r="A169" s="49" t="s">
        <v>14</v>
      </c>
      <c r="B169" s="38" t="s">
        <v>4</v>
      </c>
      <c r="C169" s="44">
        <f>'Report Book'!IX35</f>
        <v>147.33333333333334</v>
      </c>
      <c r="D169" s="44">
        <f>'Report Book'!IX36</f>
        <v>109.33333333333333</v>
      </c>
      <c r="E169" s="45">
        <f>'Report Book'!IX37</f>
        <v>120.6388888888889</v>
      </c>
    </row>
    <row r="170" spans="1:5" hidden="1">
      <c r="A170" s="49" t="s">
        <v>14</v>
      </c>
      <c r="B170" s="38" t="s">
        <v>3</v>
      </c>
      <c r="C170" s="44">
        <f>'Report Book'!IY35</f>
        <v>36</v>
      </c>
      <c r="D170" s="44">
        <f>'Report Book'!IY36</f>
        <v>27</v>
      </c>
      <c r="E170" s="45">
        <f>'Report Book'!IY37</f>
        <v>30.666666666666668</v>
      </c>
    </row>
    <row r="171" spans="1:5" hidden="1">
      <c r="A171" s="49" t="s">
        <v>14</v>
      </c>
      <c r="B171" s="38" t="s">
        <v>12</v>
      </c>
      <c r="C171" s="44">
        <f>'Report Book'!IZ35</f>
        <v>12</v>
      </c>
      <c r="D171" s="44">
        <f>'Report Book'!IZ36</f>
        <v>4</v>
      </c>
      <c r="E171" s="45">
        <f>'Report Book'!IZ37</f>
        <v>8.3333333333333339</v>
      </c>
    </row>
    <row r="172" spans="1:5" hidden="1">
      <c r="A172" s="49" t="s">
        <v>14</v>
      </c>
      <c r="B172" s="38" t="s">
        <v>7</v>
      </c>
      <c r="C172" s="40">
        <f>'Report Book'!JA35</f>
        <v>2.2450000000000001</v>
      </c>
      <c r="D172" s="40">
        <f>'Report Book'!JA36</f>
        <v>0.82333333333333325</v>
      </c>
      <c r="E172" s="41">
        <f>'Report Book'!JA37</f>
        <v>1.413888888888889</v>
      </c>
    </row>
    <row r="173" spans="1:5" hidden="1">
      <c r="A173" s="49" t="s">
        <v>14</v>
      </c>
      <c r="B173" s="38" t="s">
        <v>6</v>
      </c>
      <c r="C173" s="44">
        <f>'Report Book'!JB35</f>
        <v>156.66666666666666</v>
      </c>
      <c r="D173" s="44">
        <f>'Report Book'!JB36</f>
        <v>90.5</v>
      </c>
      <c r="E173" s="45">
        <f>'Report Book'!JB37</f>
        <v>118.05555555555556</v>
      </c>
    </row>
    <row r="174" spans="1:5" hidden="1">
      <c r="A174" s="49" t="s">
        <v>15</v>
      </c>
      <c r="B174" s="38" t="s">
        <v>0</v>
      </c>
      <c r="C174" s="40">
        <f>'Report Book'!JC35</f>
        <v>7.48</v>
      </c>
      <c r="D174" s="40">
        <f>'Report Book'!JC36</f>
        <v>6.3949999999999996</v>
      </c>
      <c r="E174" s="41">
        <f>'Report Book'!JC37</f>
        <v>7.0141666666666671</v>
      </c>
    </row>
    <row r="175" spans="1:5" hidden="1">
      <c r="A175" s="49" t="s">
        <v>15</v>
      </c>
      <c r="B175" s="38" t="s">
        <v>1</v>
      </c>
      <c r="C175" s="44">
        <f>'Report Book'!JD35</f>
        <v>93.05</v>
      </c>
      <c r="D175" s="44">
        <f>'Report Book'!JD36</f>
        <v>62.24</v>
      </c>
      <c r="E175" s="45">
        <f>'Report Book'!JD37</f>
        <v>76.611111111111114</v>
      </c>
    </row>
    <row r="176" spans="1:5" hidden="1">
      <c r="A176" s="49" t="s">
        <v>15</v>
      </c>
      <c r="B176" s="38" t="s">
        <v>2</v>
      </c>
      <c r="C176" s="44">
        <f>'Report Book'!JE35</f>
        <v>29.666666666666668</v>
      </c>
      <c r="D176" s="44">
        <f>'Report Book'!JE36</f>
        <v>16</v>
      </c>
      <c r="E176" s="45">
        <f>'Report Book'!JE37</f>
        <v>21</v>
      </c>
    </row>
    <row r="177" spans="1:5" hidden="1">
      <c r="A177" s="49" t="s">
        <v>15</v>
      </c>
      <c r="B177" s="38" t="s">
        <v>3</v>
      </c>
      <c r="C177" s="44">
        <f>'Report Book'!JF35</f>
        <v>2</v>
      </c>
      <c r="D177" s="44">
        <f>'Report Book'!JF36</f>
        <v>2</v>
      </c>
      <c r="E177" s="45">
        <f>'Report Book'!JF37</f>
        <v>2</v>
      </c>
    </row>
    <row r="178" spans="1:5" hidden="1">
      <c r="A178" s="49" t="s">
        <v>15</v>
      </c>
      <c r="B178" s="38" t="s">
        <v>4</v>
      </c>
      <c r="C178" s="44">
        <f>'Report Book'!JG35</f>
        <v>7.666666666666667</v>
      </c>
      <c r="D178" s="44">
        <f>'Report Book'!JG36</f>
        <v>4.333333333333333</v>
      </c>
      <c r="E178" s="45">
        <f>'Report Book'!JG37</f>
        <v>5.7777777777777777</v>
      </c>
    </row>
    <row r="179" spans="1:5" hidden="1">
      <c r="A179" s="53" t="s">
        <v>15</v>
      </c>
      <c r="B179" s="54" t="s">
        <v>6</v>
      </c>
      <c r="C179" s="55">
        <f>'Report Book'!JH35</f>
        <v>12</v>
      </c>
      <c r="D179" s="55">
        <f>'Report Book'!JH36</f>
        <v>5</v>
      </c>
      <c r="E179" s="56">
        <f>'Report Book'!JH37</f>
        <v>8.1111111111111125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22F38-92B0-4885-A396-DD1188C60CBF}">
  <sheetPr>
    <tabColor rgb="FFFF0000"/>
  </sheetPr>
  <dimension ref="A1:C148"/>
  <sheetViews>
    <sheetView zoomScale="89" zoomScaleNormal="89" workbookViewId="0">
      <selection activeCell="C154" sqref="C154"/>
    </sheetView>
  </sheetViews>
  <sheetFormatPr defaultRowHeight="15"/>
  <cols>
    <col min="1" max="1" width="17.28515625" style="1" bestFit="1" customWidth="1"/>
    <col min="2" max="2" width="19.28515625" style="1" bestFit="1" customWidth="1"/>
    <col min="3" max="3" width="14.7109375" style="1" bestFit="1" customWidth="1"/>
    <col min="4" max="16384" width="9.140625" style="1"/>
  </cols>
  <sheetData>
    <row r="1" spans="1:3">
      <c r="A1" s="1" t="s">
        <v>36</v>
      </c>
      <c r="B1" s="1" t="s">
        <v>35</v>
      </c>
      <c r="C1" s="1" t="s">
        <v>16</v>
      </c>
    </row>
    <row r="2" spans="1:3" hidden="1">
      <c r="A2" s="1" t="s">
        <v>18</v>
      </c>
      <c r="B2" s="1" t="s">
        <v>38</v>
      </c>
      <c r="C2" s="2">
        <v>5.5757142857142856</v>
      </c>
    </row>
    <row r="3" spans="1:3">
      <c r="A3" s="1" t="s">
        <v>18</v>
      </c>
      <c r="B3" s="1" t="s">
        <v>0</v>
      </c>
      <c r="C3" s="2">
        <v>8.5781666666666663</v>
      </c>
    </row>
    <row r="4" spans="1:3" hidden="1">
      <c r="A4" s="1" t="s">
        <v>18</v>
      </c>
      <c r="B4" s="1" t="s">
        <v>13</v>
      </c>
      <c r="C4" s="2">
        <v>24.721888888888888</v>
      </c>
    </row>
    <row r="5" spans="1:3" hidden="1">
      <c r="A5" s="1" t="s">
        <v>18</v>
      </c>
      <c r="B5" s="1" t="s">
        <v>1</v>
      </c>
      <c r="C5" s="3">
        <v>941.07888888888897</v>
      </c>
    </row>
    <row r="6" spans="1:3" hidden="1">
      <c r="A6" s="1" t="s">
        <v>18</v>
      </c>
      <c r="B6" s="1" t="s">
        <v>2</v>
      </c>
      <c r="C6" s="3">
        <v>4420.45</v>
      </c>
    </row>
    <row r="7" spans="1:3" hidden="1">
      <c r="A7" s="1" t="s">
        <v>18</v>
      </c>
      <c r="B7" s="1" t="s">
        <v>3</v>
      </c>
      <c r="C7" s="3">
        <v>2613.0769230769229</v>
      </c>
    </row>
    <row r="8" spans="1:3" hidden="1">
      <c r="A8" s="1" t="s">
        <v>18</v>
      </c>
      <c r="B8" s="1" t="s">
        <v>12</v>
      </c>
      <c r="C8" s="3">
        <v>74.931034482758619</v>
      </c>
    </row>
    <row r="9" spans="1:3" hidden="1">
      <c r="A9" s="1" t="s">
        <v>18</v>
      </c>
      <c r="B9" s="1" t="s">
        <v>7</v>
      </c>
      <c r="C9" s="2">
        <v>20.424333333333333</v>
      </c>
    </row>
    <row r="10" spans="1:3" hidden="1">
      <c r="A10" s="1" t="s">
        <v>18</v>
      </c>
      <c r="B10" s="1" t="s">
        <v>4</v>
      </c>
      <c r="C10" s="3">
        <v>190.3</v>
      </c>
    </row>
    <row r="11" spans="1:3" hidden="1">
      <c r="A11" s="1" t="s">
        <v>18</v>
      </c>
      <c r="B11" s="1" t="s">
        <v>6</v>
      </c>
      <c r="C11" s="3">
        <v>193.28888888888886</v>
      </c>
    </row>
    <row r="12" spans="1:3" hidden="1">
      <c r="A12" s="1" t="s">
        <v>18</v>
      </c>
      <c r="B12" s="1" t="s">
        <v>5</v>
      </c>
      <c r="C12" s="3">
        <v>44.396551724137929</v>
      </c>
    </row>
    <row r="13" spans="1:3" hidden="1">
      <c r="A13" s="1" t="s">
        <v>18</v>
      </c>
      <c r="B13" s="1" t="s">
        <v>37</v>
      </c>
      <c r="C13" s="3">
        <v>1970.9655172413793</v>
      </c>
    </row>
    <row r="14" spans="1:3" hidden="1">
      <c r="A14" s="1" t="s">
        <v>19</v>
      </c>
      <c r="B14" s="1" t="s">
        <v>13</v>
      </c>
      <c r="C14" s="2">
        <v>24.680666666666664</v>
      </c>
    </row>
    <row r="15" spans="1:3">
      <c r="A15" s="1" t="s">
        <v>19</v>
      </c>
      <c r="B15" s="1" t="s">
        <v>0</v>
      </c>
      <c r="C15" s="2">
        <v>7.5628888888888914</v>
      </c>
    </row>
    <row r="16" spans="1:3" hidden="1">
      <c r="A16" s="1" t="s">
        <v>19</v>
      </c>
      <c r="B16" s="1" t="s">
        <v>1</v>
      </c>
      <c r="C16" s="3">
        <v>1616.8511111111113</v>
      </c>
    </row>
    <row r="17" spans="1:3" hidden="1">
      <c r="A17" s="1" t="s">
        <v>19</v>
      </c>
      <c r="B17" s="1" t="s">
        <v>2</v>
      </c>
      <c r="C17" s="3">
        <v>4331.7166666666672</v>
      </c>
    </row>
    <row r="18" spans="1:3" hidden="1">
      <c r="A18" s="1" t="s">
        <v>19</v>
      </c>
      <c r="B18" s="1" t="s">
        <v>3</v>
      </c>
      <c r="C18" s="3">
        <v>2119.2307692307691</v>
      </c>
    </row>
    <row r="19" spans="1:3" hidden="1">
      <c r="A19" s="1" t="s">
        <v>19</v>
      </c>
      <c r="B19" s="1" t="s">
        <v>12</v>
      </c>
      <c r="C19" s="3">
        <v>52.396296296296299</v>
      </c>
    </row>
    <row r="20" spans="1:3" hidden="1">
      <c r="A20" s="1" t="s">
        <v>19</v>
      </c>
      <c r="B20" s="1" t="s">
        <v>7</v>
      </c>
      <c r="C20" s="2">
        <v>21.347166666666663</v>
      </c>
    </row>
    <row r="21" spans="1:3" hidden="1">
      <c r="A21" s="1" t="s">
        <v>19</v>
      </c>
      <c r="B21" s="1" t="s">
        <v>4</v>
      </c>
      <c r="C21" s="3">
        <v>177.78888888888886</v>
      </c>
    </row>
    <row r="22" spans="1:3" hidden="1">
      <c r="A22" s="1" t="s">
        <v>19</v>
      </c>
      <c r="B22" s="1" t="s">
        <v>6</v>
      </c>
      <c r="C22" s="3">
        <v>288.39285714285717</v>
      </c>
    </row>
    <row r="23" spans="1:3">
      <c r="A23" s="1" t="s">
        <v>20</v>
      </c>
      <c r="B23" s="1" t="s">
        <v>0</v>
      </c>
      <c r="C23" s="2">
        <v>7.4094444444444436</v>
      </c>
    </row>
    <row r="24" spans="1:3" hidden="1">
      <c r="A24" s="1" t="s">
        <v>20</v>
      </c>
      <c r="B24" s="1" t="s">
        <v>8</v>
      </c>
      <c r="C24" s="3">
        <v>395.62068965517244</v>
      </c>
    </row>
    <row r="25" spans="1:3" hidden="1">
      <c r="A25" s="1" t="s">
        <v>20</v>
      </c>
      <c r="B25" s="1" t="s">
        <v>1</v>
      </c>
      <c r="C25" s="3">
        <v>1948.0500000000002</v>
      </c>
    </row>
    <row r="26" spans="1:3" hidden="1">
      <c r="A26" s="1" t="s">
        <v>20</v>
      </c>
      <c r="B26" s="1" t="s">
        <v>2</v>
      </c>
      <c r="C26" s="3">
        <v>398.74444444444447</v>
      </c>
    </row>
    <row r="27" spans="1:3" hidden="1">
      <c r="A27" s="1" t="s">
        <v>20</v>
      </c>
      <c r="B27" s="1" t="s">
        <v>3</v>
      </c>
      <c r="C27" s="3">
        <v>130.17857142857142</v>
      </c>
    </row>
    <row r="28" spans="1:3" hidden="1">
      <c r="A28" s="1" t="s">
        <v>20</v>
      </c>
      <c r="B28" s="1" t="s">
        <v>4</v>
      </c>
      <c r="C28" s="3">
        <v>169.38333333333335</v>
      </c>
    </row>
    <row r="29" spans="1:3" hidden="1">
      <c r="A29" s="1" t="s">
        <v>20</v>
      </c>
      <c r="B29" s="1" t="s">
        <v>9</v>
      </c>
      <c r="C29" s="3">
        <v>25.662999999999997</v>
      </c>
    </row>
    <row r="30" spans="1:3" hidden="1">
      <c r="A30" s="1" t="s">
        <v>20</v>
      </c>
      <c r="B30" s="1" t="s">
        <v>17</v>
      </c>
      <c r="C30" s="2">
        <v>2.5299999999999998</v>
      </c>
    </row>
    <row r="31" spans="1:3" hidden="1">
      <c r="A31" s="1" t="s">
        <v>20</v>
      </c>
      <c r="B31" s="1" t="s">
        <v>10</v>
      </c>
      <c r="C31" s="3">
        <v>6161.1724137931033</v>
      </c>
    </row>
    <row r="32" spans="1:3" hidden="1">
      <c r="A32" s="1" t="s">
        <v>20</v>
      </c>
      <c r="B32" s="1" t="s">
        <v>11</v>
      </c>
      <c r="C32" s="3">
        <v>3505.9655172413795</v>
      </c>
    </row>
    <row r="33" spans="1:3" hidden="1">
      <c r="A33" s="1" t="s">
        <v>20</v>
      </c>
      <c r="B33" s="1" t="s">
        <v>23</v>
      </c>
      <c r="C33" s="2">
        <v>0.56000000000000005</v>
      </c>
    </row>
    <row r="34" spans="1:3" hidden="1">
      <c r="A34" s="1" t="s">
        <v>20</v>
      </c>
      <c r="B34" s="1" t="s">
        <v>6</v>
      </c>
      <c r="C34" s="3">
        <v>231.9655172413793</v>
      </c>
    </row>
    <row r="35" spans="1:3" hidden="1">
      <c r="A35" s="1" t="s">
        <v>21</v>
      </c>
      <c r="B35" s="1" t="s">
        <v>13</v>
      </c>
      <c r="C35" s="2">
        <v>24.879444444444445</v>
      </c>
    </row>
    <row r="36" spans="1:3">
      <c r="A36" s="1" t="s">
        <v>21</v>
      </c>
      <c r="B36" s="1" t="s">
        <v>0</v>
      </c>
      <c r="C36" s="2">
        <v>7.4287777777777775</v>
      </c>
    </row>
    <row r="37" spans="1:3" hidden="1">
      <c r="A37" s="1" t="s">
        <v>21</v>
      </c>
      <c r="B37" s="1" t="s">
        <v>8</v>
      </c>
      <c r="C37" s="3">
        <v>379.48275862068965</v>
      </c>
    </row>
    <row r="38" spans="1:3" hidden="1">
      <c r="A38" s="1" t="s">
        <v>21</v>
      </c>
      <c r="B38" s="1" t="s">
        <v>1</v>
      </c>
      <c r="C38" s="3">
        <v>2022.0611111111111</v>
      </c>
    </row>
    <row r="39" spans="1:3" hidden="1">
      <c r="A39" s="1" t="s">
        <v>21</v>
      </c>
      <c r="B39" s="1" t="s">
        <v>2</v>
      </c>
      <c r="C39" s="3">
        <v>401.6</v>
      </c>
    </row>
    <row r="40" spans="1:3" hidden="1">
      <c r="A40" s="1" t="s">
        <v>21</v>
      </c>
      <c r="B40" s="1" t="s">
        <v>3</v>
      </c>
      <c r="C40" s="3">
        <v>98.75</v>
      </c>
    </row>
    <row r="41" spans="1:3" hidden="1">
      <c r="A41" s="1" t="s">
        <v>21</v>
      </c>
      <c r="B41" s="1" t="s">
        <v>4</v>
      </c>
      <c r="C41" s="3">
        <v>172.64444444444442</v>
      </c>
    </row>
    <row r="42" spans="1:3" hidden="1">
      <c r="A42" s="1" t="s">
        <v>21</v>
      </c>
      <c r="B42" s="1" t="s">
        <v>12</v>
      </c>
      <c r="C42" s="3">
        <v>22.423076923076923</v>
      </c>
    </row>
    <row r="43" spans="1:3" hidden="1">
      <c r="A43" s="1" t="s">
        <v>21</v>
      </c>
      <c r="B43" s="1" t="s">
        <v>7</v>
      </c>
      <c r="C43" s="2">
        <v>3.9801666666666673</v>
      </c>
    </row>
    <row r="44" spans="1:3" hidden="1">
      <c r="A44" s="1" t="s">
        <v>22</v>
      </c>
      <c r="B44" s="1" t="s">
        <v>10</v>
      </c>
      <c r="C44" s="3">
        <v>7177.6551724137935</v>
      </c>
    </row>
    <row r="45" spans="1:3" hidden="1">
      <c r="A45" s="1" t="s">
        <v>22</v>
      </c>
      <c r="B45" s="1" t="s">
        <v>11</v>
      </c>
      <c r="C45" s="3">
        <v>4148.2413793103451</v>
      </c>
    </row>
    <row r="46" spans="1:3" hidden="1">
      <c r="A46" s="1" t="s">
        <v>22</v>
      </c>
      <c r="B46" s="1" t="s">
        <v>23</v>
      </c>
      <c r="C46" s="2">
        <v>0.57793823744186945</v>
      </c>
    </row>
    <row r="47" spans="1:3">
      <c r="A47" s="1" t="s">
        <v>24</v>
      </c>
      <c r="B47" s="1" t="s">
        <v>0</v>
      </c>
      <c r="C47" s="2">
        <v>8.0103333333333335</v>
      </c>
    </row>
    <row r="48" spans="1:3" hidden="1">
      <c r="A48" s="1" t="s">
        <v>24</v>
      </c>
      <c r="B48" s="1" t="s">
        <v>1</v>
      </c>
      <c r="C48" s="3">
        <v>1939.8944444444448</v>
      </c>
    </row>
    <row r="49" spans="1:3" hidden="1">
      <c r="A49" s="1" t="s">
        <v>24</v>
      </c>
      <c r="B49" s="1" t="s">
        <v>2</v>
      </c>
      <c r="C49" s="3">
        <v>388.9111111111111</v>
      </c>
    </row>
    <row r="50" spans="1:3" hidden="1">
      <c r="A50" s="1" t="s">
        <v>24</v>
      </c>
      <c r="B50" s="1" t="s">
        <v>3</v>
      </c>
      <c r="C50" s="3">
        <v>64.642857142857139</v>
      </c>
    </row>
    <row r="51" spans="1:3" hidden="1">
      <c r="A51" s="1" t="s">
        <v>24</v>
      </c>
      <c r="B51" s="1" t="s">
        <v>4</v>
      </c>
      <c r="C51" s="3">
        <v>168.01666666666668</v>
      </c>
    </row>
    <row r="52" spans="1:3" hidden="1">
      <c r="A52" s="1" t="s">
        <v>24</v>
      </c>
      <c r="B52" s="1" t="s">
        <v>17</v>
      </c>
      <c r="C52" s="2">
        <v>3.92</v>
      </c>
    </row>
    <row r="53" spans="1:3" hidden="1">
      <c r="A53" s="1" t="s">
        <v>24</v>
      </c>
      <c r="B53" s="1" t="s">
        <v>10</v>
      </c>
      <c r="C53" s="3">
        <v>4360.4137931034484</v>
      </c>
    </row>
    <row r="54" spans="1:3" hidden="1">
      <c r="A54" s="1" t="s">
        <v>24</v>
      </c>
      <c r="B54" s="1" t="s">
        <v>11</v>
      </c>
      <c r="C54" s="3">
        <v>2402.4137931034484</v>
      </c>
    </row>
    <row r="55" spans="1:3" hidden="1">
      <c r="A55" s="1" t="s">
        <v>24</v>
      </c>
      <c r="B55" s="1" t="s">
        <v>23</v>
      </c>
      <c r="C55" s="2">
        <v>0.55096004808148547</v>
      </c>
    </row>
    <row r="56" spans="1:3">
      <c r="A56" s="1" t="s">
        <v>25</v>
      </c>
      <c r="B56" s="1" t="s">
        <v>0</v>
      </c>
      <c r="C56" s="2">
        <v>7.97</v>
      </c>
    </row>
    <row r="57" spans="1:3" hidden="1">
      <c r="A57" s="1" t="s">
        <v>25</v>
      </c>
      <c r="B57" s="1" t="s">
        <v>1</v>
      </c>
      <c r="C57" s="3">
        <v>1944.7388888888891</v>
      </c>
    </row>
    <row r="58" spans="1:3" hidden="1">
      <c r="A58" s="1" t="s">
        <v>25</v>
      </c>
      <c r="B58" s="1" t="s">
        <v>2</v>
      </c>
      <c r="C58" s="3">
        <v>379.84444444444438</v>
      </c>
    </row>
    <row r="59" spans="1:3" hidden="1">
      <c r="A59" s="1" t="s">
        <v>25</v>
      </c>
      <c r="B59" s="1" t="s">
        <v>3</v>
      </c>
      <c r="C59" s="3">
        <v>56.785714285714285</v>
      </c>
    </row>
    <row r="60" spans="1:3" hidden="1">
      <c r="A60" s="1" t="s">
        <v>25</v>
      </c>
      <c r="B60" s="1" t="s">
        <v>4</v>
      </c>
      <c r="C60" s="3">
        <v>167.3111111111111</v>
      </c>
    </row>
    <row r="61" spans="1:3" hidden="1">
      <c r="A61" s="1" t="s">
        <v>25</v>
      </c>
      <c r="B61" s="1" t="s">
        <v>17</v>
      </c>
      <c r="C61" s="2">
        <v>4.38</v>
      </c>
    </row>
    <row r="62" spans="1:3" hidden="1">
      <c r="A62" s="1" t="s">
        <v>25</v>
      </c>
      <c r="B62" s="1" t="s">
        <v>10</v>
      </c>
      <c r="C62" s="3">
        <v>3969</v>
      </c>
    </row>
    <row r="63" spans="1:3" hidden="1">
      <c r="A63" s="1" t="s">
        <v>25</v>
      </c>
      <c r="B63" s="1" t="s">
        <v>11</v>
      </c>
      <c r="C63" s="3">
        <v>2268.7586206896553</v>
      </c>
    </row>
    <row r="64" spans="1:3" hidden="1">
      <c r="A64" s="1" t="s">
        <v>25</v>
      </c>
      <c r="B64" s="1" t="s">
        <v>23</v>
      </c>
      <c r="C64" s="2">
        <v>0.57161970790870631</v>
      </c>
    </row>
    <row r="65" spans="1:3">
      <c r="A65" s="1" t="s">
        <v>26</v>
      </c>
      <c r="B65" s="1" t="s">
        <v>0</v>
      </c>
      <c r="C65" s="2">
        <v>7.9391111111111128</v>
      </c>
    </row>
    <row r="66" spans="1:3" hidden="1">
      <c r="A66" s="1" t="s">
        <v>26</v>
      </c>
      <c r="B66" s="1" t="s">
        <v>12</v>
      </c>
      <c r="C66" s="3">
        <v>49.035714285714285</v>
      </c>
    </row>
    <row r="67" spans="1:3" hidden="1">
      <c r="A67" s="1" t="s">
        <v>26</v>
      </c>
      <c r="B67" s="1" t="s">
        <v>1</v>
      </c>
      <c r="C67" s="3">
        <v>2022.9944444444445</v>
      </c>
    </row>
    <row r="68" spans="1:3" hidden="1">
      <c r="A68" s="1" t="s">
        <v>26</v>
      </c>
      <c r="B68" s="1" t="s">
        <v>2</v>
      </c>
      <c r="C68" s="3">
        <v>390.85000000000008</v>
      </c>
    </row>
    <row r="69" spans="1:3" hidden="1">
      <c r="A69" s="1" t="s">
        <v>26</v>
      </c>
      <c r="B69" s="1" t="s">
        <v>3</v>
      </c>
      <c r="C69" s="3">
        <v>42.884615384615387</v>
      </c>
    </row>
    <row r="70" spans="1:3" hidden="1">
      <c r="A70" s="1" t="s">
        <v>26</v>
      </c>
      <c r="B70" s="1" t="s">
        <v>4</v>
      </c>
      <c r="C70" s="3">
        <v>167.70555555555558</v>
      </c>
    </row>
    <row r="71" spans="1:3" hidden="1">
      <c r="A71" s="1" t="s">
        <v>26</v>
      </c>
      <c r="B71" s="1" t="s">
        <v>7</v>
      </c>
      <c r="C71" s="2">
        <v>16.459333333333333</v>
      </c>
    </row>
    <row r="72" spans="1:3" hidden="1">
      <c r="A72" s="1" t="s">
        <v>26</v>
      </c>
      <c r="B72" s="1" t="s">
        <v>6</v>
      </c>
      <c r="C72" s="3">
        <v>237.46428571428572</v>
      </c>
    </row>
    <row r="73" spans="1:3">
      <c r="A73" s="1" t="s">
        <v>27</v>
      </c>
      <c r="B73" s="1" t="s">
        <v>0</v>
      </c>
      <c r="C73" s="2">
        <v>7.9734444444444437</v>
      </c>
    </row>
    <row r="74" spans="1:3" hidden="1">
      <c r="A74" s="1" t="s">
        <v>27</v>
      </c>
      <c r="B74" s="1" t="s">
        <v>1</v>
      </c>
      <c r="C74" s="3">
        <v>1992.9722222222219</v>
      </c>
    </row>
    <row r="75" spans="1:3" hidden="1">
      <c r="A75" s="1" t="s">
        <v>27</v>
      </c>
      <c r="B75" s="1" t="s">
        <v>2</v>
      </c>
      <c r="C75" s="3">
        <v>386.30555555555554</v>
      </c>
    </row>
    <row r="76" spans="1:3" hidden="1">
      <c r="A76" s="1" t="s">
        <v>27</v>
      </c>
      <c r="B76" s="1" t="s">
        <v>3</v>
      </c>
      <c r="C76" s="3">
        <v>36.36</v>
      </c>
    </row>
    <row r="77" spans="1:3" hidden="1">
      <c r="A77" s="1" t="s">
        <v>27</v>
      </c>
      <c r="B77" s="1" t="s">
        <v>12</v>
      </c>
      <c r="C77" s="3">
        <v>48.714285714285715</v>
      </c>
    </row>
    <row r="78" spans="1:3" hidden="1">
      <c r="A78" s="1" t="s">
        <v>27</v>
      </c>
      <c r="B78" s="1" t="s">
        <v>4</v>
      </c>
      <c r="C78" s="3">
        <v>165.75</v>
      </c>
    </row>
    <row r="79" spans="1:3" hidden="1">
      <c r="A79" s="1" t="s">
        <v>27</v>
      </c>
      <c r="B79" s="1" t="s">
        <v>7</v>
      </c>
      <c r="C79" s="2">
        <v>9.6247777777777781</v>
      </c>
    </row>
    <row r="80" spans="1:3">
      <c r="A80" s="1" t="s">
        <v>28</v>
      </c>
      <c r="B80" s="1" t="s">
        <v>0</v>
      </c>
      <c r="C80" s="2">
        <v>8.3542722222222228</v>
      </c>
    </row>
    <row r="81" spans="1:3" hidden="1">
      <c r="A81" s="1" t="s">
        <v>28</v>
      </c>
      <c r="B81" s="1" t="s">
        <v>1</v>
      </c>
      <c r="C81" s="3">
        <v>2011.122222222222</v>
      </c>
    </row>
    <row r="82" spans="1:3" hidden="1">
      <c r="A82" s="1" t="s">
        <v>28</v>
      </c>
      <c r="B82" s="1" t="s">
        <v>2</v>
      </c>
      <c r="C82" s="3">
        <v>381.78888888888889</v>
      </c>
    </row>
    <row r="83" spans="1:3" hidden="1">
      <c r="A83" s="1" t="s">
        <v>28</v>
      </c>
      <c r="B83" s="1" t="s">
        <v>3</v>
      </c>
      <c r="C83" s="3">
        <v>35.269230769230766</v>
      </c>
    </row>
    <row r="84" spans="1:3" hidden="1">
      <c r="A84" s="1" t="s">
        <v>28</v>
      </c>
      <c r="B84" s="1" t="s">
        <v>4</v>
      </c>
      <c r="C84" s="3">
        <v>164.15</v>
      </c>
    </row>
    <row r="85" spans="1:3" hidden="1">
      <c r="A85" s="1" t="s">
        <v>28</v>
      </c>
      <c r="B85" s="1" t="s">
        <v>12</v>
      </c>
      <c r="C85" s="3">
        <v>54.552666666666674</v>
      </c>
    </row>
    <row r="86" spans="1:3" hidden="1">
      <c r="A86" s="1" t="s">
        <v>28</v>
      </c>
      <c r="B86" s="1" t="s">
        <v>7</v>
      </c>
      <c r="C86" s="2">
        <v>13.561944444444444</v>
      </c>
    </row>
    <row r="87" spans="1:3" hidden="1">
      <c r="A87" s="1" t="s">
        <v>28</v>
      </c>
      <c r="B87" s="1" t="s">
        <v>6</v>
      </c>
      <c r="C87" s="3">
        <v>233.16666666666663</v>
      </c>
    </row>
    <row r="88" spans="1:3" hidden="1">
      <c r="A88" s="1" t="s">
        <v>28</v>
      </c>
      <c r="B88" s="1" t="s">
        <v>37</v>
      </c>
      <c r="C88" s="3">
        <v>1292.7833333333333</v>
      </c>
    </row>
    <row r="89" spans="1:3">
      <c r="A89" s="1" t="s">
        <v>29</v>
      </c>
      <c r="B89" s="1" t="s">
        <v>0</v>
      </c>
      <c r="C89" s="2">
        <v>8.3858444444444462</v>
      </c>
    </row>
    <row r="90" spans="1:3" hidden="1">
      <c r="A90" s="1" t="s">
        <v>29</v>
      </c>
      <c r="B90" s="1" t="s">
        <v>1</v>
      </c>
      <c r="C90" s="3">
        <v>2077.5388888888892</v>
      </c>
    </row>
    <row r="91" spans="1:3" hidden="1">
      <c r="A91" s="1" t="s">
        <v>29</v>
      </c>
      <c r="B91" s="1" t="s">
        <v>2</v>
      </c>
      <c r="C91" s="3">
        <v>366.06111111111113</v>
      </c>
    </row>
    <row r="92" spans="1:3" hidden="1">
      <c r="A92" s="1" t="s">
        <v>29</v>
      </c>
      <c r="B92" s="1" t="s">
        <v>3</v>
      </c>
      <c r="C92" s="3">
        <v>32.153846153846153</v>
      </c>
    </row>
    <row r="93" spans="1:3" hidden="1">
      <c r="A93" s="1" t="s">
        <v>29</v>
      </c>
      <c r="B93" s="1" t="s">
        <v>4</v>
      </c>
      <c r="C93" s="3">
        <v>155.46666666666664</v>
      </c>
    </row>
    <row r="94" spans="1:3" hidden="1">
      <c r="A94" s="1" t="s">
        <v>29</v>
      </c>
      <c r="B94" s="1" t="s">
        <v>12</v>
      </c>
      <c r="C94" s="3">
        <v>6.4285714285714288</v>
      </c>
    </row>
    <row r="95" spans="1:3" hidden="1">
      <c r="A95" s="1" t="s">
        <v>29</v>
      </c>
      <c r="B95" s="1" t="s">
        <v>7</v>
      </c>
      <c r="C95" s="2">
        <v>0.66538888888888892</v>
      </c>
    </row>
    <row r="96" spans="1:3" hidden="1">
      <c r="A96" s="1" t="s">
        <v>29</v>
      </c>
      <c r="B96" s="1" t="s">
        <v>6</v>
      </c>
      <c r="C96" s="3">
        <v>219.25555555555556</v>
      </c>
    </row>
    <row r="97" spans="1:3" hidden="1">
      <c r="A97" s="1" t="s">
        <v>29</v>
      </c>
      <c r="B97" s="1" t="s">
        <v>37</v>
      </c>
      <c r="C97" s="3">
        <v>551.60504444444439</v>
      </c>
    </row>
    <row r="98" spans="1:3">
      <c r="A98" s="1" t="s">
        <v>30</v>
      </c>
      <c r="B98" s="1" t="s">
        <v>0</v>
      </c>
      <c r="C98" s="2">
        <v>8.1928333333333327</v>
      </c>
    </row>
    <row r="99" spans="1:3" hidden="1">
      <c r="A99" s="1" t="s">
        <v>30</v>
      </c>
      <c r="B99" s="1" t="s">
        <v>1</v>
      </c>
      <c r="C99" s="3">
        <v>2106.0999999999995</v>
      </c>
    </row>
    <row r="100" spans="1:3" hidden="1">
      <c r="A100" s="1" t="s">
        <v>30</v>
      </c>
      <c r="B100" s="1" t="s">
        <v>2</v>
      </c>
      <c r="C100" s="3">
        <v>358.25555555555553</v>
      </c>
    </row>
    <row r="101" spans="1:3" hidden="1">
      <c r="A101" s="1" t="s">
        <v>30</v>
      </c>
      <c r="B101" s="1" t="s">
        <v>4</v>
      </c>
      <c r="C101" s="3">
        <v>154.26666666666668</v>
      </c>
    </row>
    <row r="102" spans="1:3" hidden="1">
      <c r="A102" s="1" t="s">
        <v>30</v>
      </c>
      <c r="B102" s="1" t="s">
        <v>12</v>
      </c>
      <c r="C102" s="3">
        <v>10</v>
      </c>
    </row>
    <row r="103" spans="1:3" hidden="1">
      <c r="A103" s="1" t="s">
        <v>30</v>
      </c>
      <c r="B103" s="1" t="s">
        <v>6</v>
      </c>
      <c r="C103" s="3">
        <v>218.20555555555555</v>
      </c>
    </row>
    <row r="104" spans="1:3" hidden="1">
      <c r="A104" s="1" t="s">
        <v>30</v>
      </c>
      <c r="B104" s="1" t="s">
        <v>37</v>
      </c>
      <c r="C104" s="3">
        <v>521.51358888888888</v>
      </c>
    </row>
    <row r="105" spans="1:3">
      <c r="A105" s="1" t="s">
        <v>31</v>
      </c>
      <c r="B105" s="1" t="s">
        <v>0</v>
      </c>
      <c r="C105" s="2">
        <v>7.3896111111111127</v>
      </c>
    </row>
    <row r="106" spans="1:3" hidden="1">
      <c r="A106" s="1" t="s">
        <v>31</v>
      </c>
      <c r="B106" s="1" t="s">
        <v>1</v>
      </c>
      <c r="C106" s="3">
        <v>127.64949999999996</v>
      </c>
    </row>
    <row r="107" spans="1:3" hidden="1">
      <c r="A107" s="1" t="s">
        <v>31</v>
      </c>
      <c r="B107" s="1" t="s">
        <v>2</v>
      </c>
      <c r="C107" s="3">
        <v>22.133333333333333</v>
      </c>
    </row>
    <row r="108" spans="1:3" hidden="1">
      <c r="A108" s="1" t="s">
        <v>31</v>
      </c>
      <c r="B108" s="1" t="s">
        <v>3</v>
      </c>
      <c r="C108" s="3">
        <v>2</v>
      </c>
    </row>
    <row r="109" spans="1:3" hidden="1">
      <c r="A109" s="1" t="s">
        <v>31</v>
      </c>
      <c r="B109" s="1" t="s">
        <v>4</v>
      </c>
      <c r="C109" s="3">
        <v>9.9611111111111104</v>
      </c>
    </row>
    <row r="110" spans="1:3" hidden="1">
      <c r="A110" s="1" t="s">
        <v>31</v>
      </c>
      <c r="B110" s="1" t="s">
        <v>12</v>
      </c>
      <c r="C110" s="3">
        <v>2</v>
      </c>
    </row>
    <row r="111" spans="1:3" hidden="1">
      <c r="A111" s="1" t="s">
        <v>31</v>
      </c>
      <c r="B111" s="1" t="s">
        <v>6</v>
      </c>
      <c r="C111" s="3">
        <v>12.322222222222221</v>
      </c>
    </row>
    <row r="112" spans="1:3" hidden="1">
      <c r="A112" s="1" t="s">
        <v>31</v>
      </c>
      <c r="B112" s="1" t="s">
        <v>37</v>
      </c>
      <c r="C112" s="3">
        <v>16.749538888888893</v>
      </c>
    </row>
    <row r="113" spans="1:3">
      <c r="A113" s="1" t="s">
        <v>32</v>
      </c>
      <c r="B113" s="1" t="s">
        <v>0</v>
      </c>
      <c r="C113" s="2">
        <v>7.6735057471264385</v>
      </c>
    </row>
    <row r="114" spans="1:3" hidden="1">
      <c r="A114" s="1" t="s">
        <v>32</v>
      </c>
      <c r="B114" s="1" t="s">
        <v>1</v>
      </c>
      <c r="C114" s="3">
        <v>7196.0804597701153</v>
      </c>
    </row>
    <row r="115" spans="1:3" hidden="1">
      <c r="A115" s="1" t="s">
        <v>32</v>
      </c>
      <c r="B115" s="1" t="s">
        <v>2</v>
      </c>
      <c r="C115" s="3">
        <v>1240.367816091954</v>
      </c>
    </row>
    <row r="116" spans="1:3" hidden="1">
      <c r="A116" s="1" t="s">
        <v>32</v>
      </c>
      <c r="B116" s="1" t="s">
        <v>4</v>
      </c>
      <c r="C116" s="3">
        <v>474.85057471264361</v>
      </c>
    </row>
    <row r="117" spans="1:3" hidden="1">
      <c r="A117" s="1" t="s">
        <v>32</v>
      </c>
      <c r="B117" s="1" t="s">
        <v>12</v>
      </c>
      <c r="C117" s="3">
        <v>26.12</v>
      </c>
    </row>
    <row r="118" spans="1:3" hidden="1">
      <c r="A118" s="1" t="s">
        <v>32</v>
      </c>
      <c r="B118" s="1" t="s">
        <v>6</v>
      </c>
      <c r="C118" s="3">
        <v>637.85632183908058</v>
      </c>
    </row>
    <row r="119" spans="1:3" hidden="1">
      <c r="A119" s="1" t="s">
        <v>32</v>
      </c>
      <c r="B119" s="1" t="s">
        <v>37</v>
      </c>
      <c r="C119" s="3">
        <v>2206.7931034482763</v>
      </c>
    </row>
    <row r="120" spans="1:3">
      <c r="A120" s="1" t="s">
        <v>33</v>
      </c>
      <c r="B120" s="1" t="s">
        <v>0</v>
      </c>
      <c r="C120" s="2">
        <v>8.3953448275862073</v>
      </c>
    </row>
    <row r="121" spans="1:3" hidden="1">
      <c r="A121" s="1" t="s">
        <v>33</v>
      </c>
      <c r="B121" s="1" t="s">
        <v>1</v>
      </c>
      <c r="C121" s="3">
        <v>745.07758620689651</v>
      </c>
    </row>
    <row r="122" spans="1:3" hidden="1">
      <c r="A122" s="1" t="s">
        <v>33</v>
      </c>
      <c r="B122" s="1" t="s">
        <v>2</v>
      </c>
      <c r="C122" s="3">
        <v>75.408045977011497</v>
      </c>
    </row>
    <row r="123" spans="1:3" hidden="1">
      <c r="A123" s="1" t="s">
        <v>33</v>
      </c>
      <c r="B123" s="1" t="s">
        <v>3</v>
      </c>
      <c r="C123" s="3">
        <v>2</v>
      </c>
    </row>
    <row r="124" spans="1:3" hidden="1">
      <c r="A124" s="1" t="s">
        <v>33</v>
      </c>
      <c r="B124" s="1" t="s">
        <v>4</v>
      </c>
      <c r="C124" s="3">
        <v>48.735632183908045</v>
      </c>
    </row>
    <row r="125" spans="1:3" hidden="1">
      <c r="A125" s="1" t="s">
        <v>33</v>
      </c>
      <c r="B125" s="1" t="s">
        <v>12</v>
      </c>
      <c r="C125" s="3">
        <v>2</v>
      </c>
    </row>
    <row r="126" spans="1:3" hidden="1">
      <c r="A126" s="1" t="s">
        <v>33</v>
      </c>
      <c r="B126" s="1" t="s">
        <v>6</v>
      </c>
      <c r="C126" s="3">
        <v>47.321839080459775</v>
      </c>
    </row>
    <row r="127" spans="1:3" hidden="1">
      <c r="A127" s="1" t="s">
        <v>33</v>
      </c>
      <c r="B127" s="1" t="s">
        <v>37</v>
      </c>
      <c r="C127" s="3">
        <v>88.937160919540233</v>
      </c>
    </row>
    <row r="128" spans="1:3">
      <c r="A128" s="1" t="s">
        <v>34</v>
      </c>
      <c r="B128" s="1" t="s">
        <v>0</v>
      </c>
      <c r="C128" s="2">
        <v>8.0012643678160931</v>
      </c>
    </row>
    <row r="129" spans="1:3" hidden="1">
      <c r="A129" s="1" t="s">
        <v>34</v>
      </c>
      <c r="B129" s="1" t="s">
        <v>1</v>
      </c>
      <c r="C129" s="3">
        <v>11421.465517241379</v>
      </c>
    </row>
    <row r="130" spans="1:3" hidden="1">
      <c r="A130" s="1" t="s">
        <v>34</v>
      </c>
      <c r="B130" s="1" t="s">
        <v>2</v>
      </c>
      <c r="C130" s="3">
        <v>1913.4425287356321</v>
      </c>
    </row>
    <row r="131" spans="1:3" hidden="1">
      <c r="A131" s="1" t="s">
        <v>34</v>
      </c>
      <c r="B131" s="1" t="s">
        <v>4</v>
      </c>
      <c r="C131" s="3">
        <v>741.24712643678151</v>
      </c>
    </row>
    <row r="132" spans="1:3" hidden="1">
      <c r="A132" s="1" t="s">
        <v>34</v>
      </c>
      <c r="B132" s="1" t="s">
        <v>12</v>
      </c>
      <c r="C132" s="3">
        <v>32.166666666666664</v>
      </c>
    </row>
    <row r="133" spans="1:3" hidden="1">
      <c r="A133" s="1" t="s">
        <v>34</v>
      </c>
      <c r="B133" s="1" t="s">
        <v>6</v>
      </c>
      <c r="C133" s="3">
        <v>956.51149425287338</v>
      </c>
    </row>
    <row r="134" spans="1:3" hidden="1">
      <c r="A134" s="1" t="s">
        <v>34</v>
      </c>
      <c r="B134" s="1" t="s">
        <v>37</v>
      </c>
      <c r="C134" s="3">
        <v>2840.0482758620687</v>
      </c>
    </row>
    <row r="135" spans="1:3">
      <c r="A135" s="1" t="s">
        <v>14</v>
      </c>
      <c r="B135" s="1" t="s">
        <v>0</v>
      </c>
      <c r="C135" s="2">
        <v>8.3913888888888906</v>
      </c>
    </row>
    <row r="136" spans="1:3" hidden="1">
      <c r="A136" s="1" t="s">
        <v>14</v>
      </c>
      <c r="B136" s="1" t="s">
        <v>1</v>
      </c>
      <c r="C136" s="3">
        <v>2056.0499999999997</v>
      </c>
    </row>
    <row r="137" spans="1:3" hidden="1">
      <c r="A137" s="1" t="s">
        <v>14</v>
      </c>
      <c r="B137" s="1" t="s">
        <v>2</v>
      </c>
      <c r="C137" s="3">
        <v>365.43888888888887</v>
      </c>
    </row>
    <row r="138" spans="1:3" hidden="1">
      <c r="A138" s="1" t="s">
        <v>14</v>
      </c>
      <c r="B138" s="1" t="s">
        <v>4</v>
      </c>
      <c r="C138" s="3">
        <v>155.61111111111111</v>
      </c>
    </row>
    <row r="139" spans="1:3" hidden="1">
      <c r="A139" s="1" t="s">
        <v>14</v>
      </c>
      <c r="B139" s="1" t="s">
        <v>3</v>
      </c>
      <c r="C139" s="3">
        <v>35.28</v>
      </c>
    </row>
    <row r="140" spans="1:3" hidden="1">
      <c r="A140" s="1" t="s">
        <v>14</v>
      </c>
      <c r="B140" s="1" t="s">
        <v>12</v>
      </c>
      <c r="C140" s="3">
        <v>7</v>
      </c>
    </row>
    <row r="141" spans="1:3" hidden="1">
      <c r="A141" s="1" t="s">
        <v>14</v>
      </c>
      <c r="B141" s="1" t="s">
        <v>7</v>
      </c>
      <c r="C141" s="2">
        <v>0.78983333333333339</v>
      </c>
    </row>
    <row r="142" spans="1:3" hidden="1">
      <c r="A142" s="1" t="s">
        <v>14</v>
      </c>
      <c r="B142" s="1" t="s">
        <v>6</v>
      </c>
      <c r="C142" s="3">
        <v>222.84444444444446</v>
      </c>
    </row>
    <row r="143" spans="1:3">
      <c r="A143" s="1" t="s">
        <v>15</v>
      </c>
      <c r="B143" s="1" t="s">
        <v>0</v>
      </c>
      <c r="C143" s="2">
        <v>7.881444444444444</v>
      </c>
    </row>
    <row r="144" spans="1:3" hidden="1">
      <c r="A144" s="1" t="s">
        <v>15</v>
      </c>
      <c r="B144" s="1" t="s">
        <v>1</v>
      </c>
      <c r="C144" s="3">
        <v>134.89905555555558</v>
      </c>
    </row>
    <row r="145" spans="1:3" hidden="1">
      <c r="A145" s="1" t="s">
        <v>15</v>
      </c>
      <c r="B145" s="1" t="s">
        <v>2</v>
      </c>
      <c r="C145" s="3">
        <v>24.744444444444451</v>
      </c>
    </row>
    <row r="146" spans="1:3" hidden="1">
      <c r="A146" s="1" t="s">
        <v>15</v>
      </c>
      <c r="B146" s="1" t="s">
        <v>3</v>
      </c>
      <c r="C146" s="3">
        <v>2</v>
      </c>
    </row>
    <row r="147" spans="1:3" hidden="1">
      <c r="A147" s="1" t="s">
        <v>15</v>
      </c>
      <c r="B147" s="1" t="s">
        <v>4</v>
      </c>
      <c r="C147" s="3">
        <v>9.7672222222222214</v>
      </c>
    </row>
    <row r="148" spans="1:3" hidden="1">
      <c r="A148" s="1" t="s">
        <v>15</v>
      </c>
      <c r="B148" s="1" t="s">
        <v>6</v>
      </c>
      <c r="C148" s="3">
        <v>12.744444444444444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39320-586F-43DB-80D3-49C9335FC1EA}">
  <sheetPr>
    <tabColor rgb="FF92D050"/>
  </sheetPr>
  <dimension ref="A1:N153"/>
  <sheetViews>
    <sheetView zoomScaleNormal="100" workbookViewId="0">
      <selection activeCell="A143" sqref="A143:B148"/>
    </sheetView>
  </sheetViews>
  <sheetFormatPr defaultRowHeight="15"/>
  <cols>
    <col min="1" max="1" width="17.28515625" style="1" bestFit="1" customWidth="1"/>
    <col min="2" max="2" width="16.28515625" style="1" bestFit="1" customWidth="1"/>
    <col min="3" max="3" width="13.5703125" style="1" bestFit="1" customWidth="1"/>
  </cols>
  <sheetData>
    <row r="1" spans="1:3">
      <c r="A1" s="1" t="s">
        <v>36</v>
      </c>
      <c r="B1" s="1" t="s">
        <v>35</v>
      </c>
      <c r="C1" s="1" t="s">
        <v>16</v>
      </c>
    </row>
    <row r="2" spans="1:3" hidden="1">
      <c r="A2" s="1" t="s">
        <v>18</v>
      </c>
      <c r="B2" s="1" t="s">
        <v>38</v>
      </c>
      <c r="C2" s="2">
        <v>5.5757142857142856</v>
      </c>
    </row>
    <row r="3" spans="1:3" hidden="1">
      <c r="A3" s="1" t="s">
        <v>18</v>
      </c>
      <c r="B3" s="1" t="s">
        <v>0</v>
      </c>
      <c r="C3" s="2">
        <v>8.5781666666666663</v>
      </c>
    </row>
    <row r="4" spans="1:3" hidden="1">
      <c r="A4" s="1" t="s">
        <v>18</v>
      </c>
      <c r="B4" s="1" t="s">
        <v>13</v>
      </c>
      <c r="C4" s="2">
        <v>24.721888888888888</v>
      </c>
    </row>
    <row r="5" spans="1:3" hidden="1">
      <c r="A5" s="1" t="s">
        <v>18</v>
      </c>
      <c r="B5" s="1" t="s">
        <v>1</v>
      </c>
      <c r="C5" s="3">
        <v>941.07888888888897</v>
      </c>
    </row>
    <row r="6" spans="1:3" hidden="1">
      <c r="A6" s="1" t="s">
        <v>18</v>
      </c>
      <c r="B6" s="1" t="s">
        <v>2</v>
      </c>
      <c r="C6" s="3">
        <v>4420.45</v>
      </c>
    </row>
    <row r="7" spans="1:3" hidden="1">
      <c r="A7" s="1" t="s">
        <v>18</v>
      </c>
      <c r="B7" s="1" t="s">
        <v>3</v>
      </c>
      <c r="C7" s="3">
        <v>2613.0769230769229</v>
      </c>
    </row>
    <row r="8" spans="1:3" hidden="1">
      <c r="A8" s="1" t="s">
        <v>18</v>
      </c>
      <c r="B8" s="1" t="s">
        <v>12</v>
      </c>
      <c r="C8" s="3">
        <v>74.931034482758619</v>
      </c>
    </row>
    <row r="9" spans="1:3" hidden="1">
      <c r="A9" s="1" t="s">
        <v>18</v>
      </c>
      <c r="B9" s="1" t="s">
        <v>7</v>
      </c>
      <c r="C9" s="2">
        <v>20.424333333333333</v>
      </c>
    </row>
    <row r="10" spans="1:3" hidden="1">
      <c r="A10" s="1" t="s">
        <v>18</v>
      </c>
      <c r="B10" s="1" t="s">
        <v>4</v>
      </c>
      <c r="C10" s="3">
        <v>190.3</v>
      </c>
    </row>
    <row r="11" spans="1:3" hidden="1">
      <c r="A11" s="1" t="s">
        <v>18</v>
      </c>
      <c r="B11" s="1" t="s">
        <v>6</v>
      </c>
      <c r="C11" s="3">
        <v>193.28888888888886</v>
      </c>
    </row>
    <row r="12" spans="1:3" hidden="1">
      <c r="A12" s="1" t="s">
        <v>18</v>
      </c>
      <c r="B12" s="1" t="s">
        <v>5</v>
      </c>
      <c r="C12" s="3">
        <v>44.396551724137929</v>
      </c>
    </row>
    <row r="13" spans="1:3" hidden="1">
      <c r="A13" s="1" t="s">
        <v>18</v>
      </c>
      <c r="B13" s="1" t="s">
        <v>37</v>
      </c>
      <c r="C13" s="3">
        <v>1970.9655172413793</v>
      </c>
    </row>
    <row r="14" spans="1:3" hidden="1">
      <c r="A14" s="1" t="s">
        <v>19</v>
      </c>
      <c r="B14" s="1" t="s">
        <v>13</v>
      </c>
      <c r="C14" s="2">
        <v>24.680666666666664</v>
      </c>
    </row>
    <row r="15" spans="1:3" hidden="1">
      <c r="A15" s="1" t="s">
        <v>19</v>
      </c>
      <c r="B15" s="1" t="s">
        <v>0</v>
      </c>
      <c r="C15" s="2">
        <v>7.5628888888888914</v>
      </c>
    </row>
    <row r="16" spans="1:3" hidden="1">
      <c r="A16" s="1" t="s">
        <v>19</v>
      </c>
      <c r="B16" s="1" t="s">
        <v>1</v>
      </c>
      <c r="C16" s="3">
        <v>1616.8511111111113</v>
      </c>
    </row>
    <row r="17" spans="1:3" hidden="1">
      <c r="A17" s="1" t="s">
        <v>19</v>
      </c>
      <c r="B17" s="1" t="s">
        <v>2</v>
      </c>
      <c r="C17" s="3">
        <v>4331.7166666666672</v>
      </c>
    </row>
    <row r="18" spans="1:3" hidden="1">
      <c r="A18" s="1" t="s">
        <v>19</v>
      </c>
      <c r="B18" s="1" t="s">
        <v>3</v>
      </c>
      <c r="C18" s="3">
        <v>2119.2307692307691</v>
      </c>
    </row>
    <row r="19" spans="1:3" hidden="1">
      <c r="A19" s="1" t="s">
        <v>19</v>
      </c>
      <c r="B19" s="1" t="s">
        <v>12</v>
      </c>
      <c r="C19" s="3">
        <v>52.396296296296299</v>
      </c>
    </row>
    <row r="20" spans="1:3" hidden="1">
      <c r="A20" s="1" t="s">
        <v>19</v>
      </c>
      <c r="B20" s="1" t="s">
        <v>7</v>
      </c>
      <c r="C20" s="2">
        <v>21.347166666666663</v>
      </c>
    </row>
    <row r="21" spans="1:3" hidden="1">
      <c r="A21" s="1" t="s">
        <v>19</v>
      </c>
      <c r="B21" s="1" t="s">
        <v>4</v>
      </c>
      <c r="C21" s="3">
        <v>177.78888888888886</v>
      </c>
    </row>
    <row r="22" spans="1:3" hidden="1">
      <c r="A22" s="1" t="s">
        <v>19</v>
      </c>
      <c r="B22" s="1" t="s">
        <v>6</v>
      </c>
      <c r="C22" s="3">
        <v>288.39285714285717</v>
      </c>
    </row>
    <row r="23" spans="1:3" hidden="1">
      <c r="A23" s="1" t="s">
        <v>20</v>
      </c>
      <c r="B23" s="1" t="s">
        <v>0</v>
      </c>
      <c r="C23" s="2">
        <v>7.4094444444444436</v>
      </c>
    </row>
    <row r="24" spans="1:3" hidden="1">
      <c r="A24" s="1" t="s">
        <v>20</v>
      </c>
      <c r="B24" s="1" t="s">
        <v>8</v>
      </c>
      <c r="C24" s="3">
        <v>395.62068965517244</v>
      </c>
    </row>
    <row r="25" spans="1:3" hidden="1">
      <c r="A25" s="1" t="s">
        <v>20</v>
      </c>
      <c r="B25" s="1" t="s">
        <v>1</v>
      </c>
      <c r="C25" s="3">
        <v>1948.0500000000002</v>
      </c>
    </row>
    <row r="26" spans="1:3" hidden="1">
      <c r="A26" s="1" t="s">
        <v>20</v>
      </c>
      <c r="B26" s="1" t="s">
        <v>2</v>
      </c>
      <c r="C26" s="3">
        <v>398.74444444444447</v>
      </c>
    </row>
    <row r="27" spans="1:3" hidden="1">
      <c r="A27" s="1" t="s">
        <v>20</v>
      </c>
      <c r="B27" s="1" t="s">
        <v>3</v>
      </c>
      <c r="C27" s="3">
        <v>130.17857142857142</v>
      </c>
    </row>
    <row r="28" spans="1:3" hidden="1">
      <c r="A28" s="1" t="s">
        <v>20</v>
      </c>
      <c r="B28" s="1" t="s">
        <v>4</v>
      </c>
      <c r="C28" s="3">
        <v>169.38333333333335</v>
      </c>
    </row>
    <row r="29" spans="1:3" hidden="1">
      <c r="A29" s="1" t="s">
        <v>20</v>
      </c>
      <c r="B29" s="1" t="s">
        <v>9</v>
      </c>
      <c r="C29" s="3">
        <v>25.662999999999997</v>
      </c>
    </row>
    <row r="30" spans="1:3" hidden="1">
      <c r="A30" s="1" t="s">
        <v>20</v>
      </c>
      <c r="B30" s="1" t="s">
        <v>17</v>
      </c>
      <c r="C30" s="2">
        <v>2.5299999999999998</v>
      </c>
    </row>
    <row r="31" spans="1:3" hidden="1">
      <c r="A31" s="1" t="s">
        <v>20</v>
      </c>
      <c r="B31" s="1" t="s">
        <v>10</v>
      </c>
      <c r="C31" s="3">
        <v>6161.1724137931033</v>
      </c>
    </row>
    <row r="32" spans="1:3" hidden="1">
      <c r="A32" s="1" t="s">
        <v>20</v>
      </c>
      <c r="B32" s="1" t="s">
        <v>11</v>
      </c>
      <c r="C32" s="3">
        <v>3505.9655172413795</v>
      </c>
    </row>
    <row r="33" spans="1:3" hidden="1">
      <c r="A33" s="1" t="s">
        <v>20</v>
      </c>
      <c r="B33" s="1" t="s">
        <v>23</v>
      </c>
      <c r="C33" s="2">
        <v>0.56000000000000005</v>
      </c>
    </row>
    <row r="34" spans="1:3" hidden="1">
      <c r="A34" s="1" t="s">
        <v>20</v>
      </c>
      <c r="B34" s="1" t="s">
        <v>6</v>
      </c>
      <c r="C34" s="3">
        <v>231.9655172413793</v>
      </c>
    </row>
    <row r="35" spans="1:3" hidden="1">
      <c r="A35" s="1" t="s">
        <v>21</v>
      </c>
      <c r="B35" s="1" t="s">
        <v>13</v>
      </c>
      <c r="C35" s="2">
        <v>24.879444444444445</v>
      </c>
    </row>
    <row r="36" spans="1:3" hidden="1">
      <c r="A36" s="1" t="s">
        <v>21</v>
      </c>
      <c r="B36" s="1" t="s">
        <v>0</v>
      </c>
      <c r="C36" s="2">
        <v>7.4287777777777775</v>
      </c>
    </row>
    <row r="37" spans="1:3" hidden="1">
      <c r="A37" s="1" t="s">
        <v>21</v>
      </c>
      <c r="B37" s="1" t="s">
        <v>8</v>
      </c>
      <c r="C37" s="3">
        <v>379.48275862068965</v>
      </c>
    </row>
    <row r="38" spans="1:3" hidden="1">
      <c r="A38" s="1" t="s">
        <v>21</v>
      </c>
      <c r="B38" s="1" t="s">
        <v>1</v>
      </c>
      <c r="C38" s="3">
        <v>2022.0611111111111</v>
      </c>
    </row>
    <row r="39" spans="1:3" hidden="1">
      <c r="A39" s="1" t="s">
        <v>21</v>
      </c>
      <c r="B39" s="1" t="s">
        <v>2</v>
      </c>
      <c r="C39" s="3">
        <v>401.6</v>
      </c>
    </row>
    <row r="40" spans="1:3" hidden="1">
      <c r="A40" s="1" t="s">
        <v>21</v>
      </c>
      <c r="B40" s="1" t="s">
        <v>3</v>
      </c>
      <c r="C40" s="3">
        <v>98.75</v>
      </c>
    </row>
    <row r="41" spans="1:3" hidden="1">
      <c r="A41" s="1" t="s">
        <v>21</v>
      </c>
      <c r="B41" s="1" t="s">
        <v>4</v>
      </c>
      <c r="C41" s="3">
        <v>172.64444444444442</v>
      </c>
    </row>
    <row r="42" spans="1:3" hidden="1">
      <c r="A42" s="1" t="s">
        <v>21</v>
      </c>
      <c r="B42" s="1" t="s">
        <v>12</v>
      </c>
      <c r="C42" s="3">
        <v>22.423076923076923</v>
      </c>
    </row>
    <row r="43" spans="1:3" hidden="1">
      <c r="A43" s="1" t="s">
        <v>21</v>
      </c>
      <c r="B43" s="1" t="s">
        <v>7</v>
      </c>
      <c r="C43" s="2">
        <v>3.9801666666666673</v>
      </c>
    </row>
    <row r="44" spans="1:3" hidden="1">
      <c r="A44" s="1" t="s">
        <v>22</v>
      </c>
      <c r="B44" s="1" t="s">
        <v>10</v>
      </c>
      <c r="C44" s="3">
        <v>7177.6551724137935</v>
      </c>
    </row>
    <row r="45" spans="1:3" hidden="1">
      <c r="A45" s="1" t="s">
        <v>22</v>
      </c>
      <c r="B45" s="1" t="s">
        <v>11</v>
      </c>
      <c r="C45" s="3">
        <v>4148.2413793103451</v>
      </c>
    </row>
    <row r="46" spans="1:3" hidden="1">
      <c r="A46" s="1" t="s">
        <v>22</v>
      </c>
      <c r="B46" s="1" t="s">
        <v>23</v>
      </c>
      <c r="C46" s="2">
        <v>0.57793823744186945</v>
      </c>
    </row>
    <row r="47" spans="1:3" hidden="1">
      <c r="A47" s="1" t="s">
        <v>24</v>
      </c>
      <c r="B47" s="1" t="s">
        <v>0</v>
      </c>
      <c r="C47" s="2">
        <v>8.0103333333333335</v>
      </c>
    </row>
    <row r="48" spans="1:3" hidden="1">
      <c r="A48" s="1" t="s">
        <v>24</v>
      </c>
      <c r="B48" s="1" t="s">
        <v>1</v>
      </c>
      <c r="C48" s="3">
        <v>1939.8944444444448</v>
      </c>
    </row>
    <row r="49" spans="1:3" hidden="1">
      <c r="A49" s="1" t="s">
        <v>24</v>
      </c>
      <c r="B49" s="1" t="s">
        <v>2</v>
      </c>
      <c r="C49" s="3">
        <v>388.9111111111111</v>
      </c>
    </row>
    <row r="50" spans="1:3" hidden="1">
      <c r="A50" s="1" t="s">
        <v>24</v>
      </c>
      <c r="B50" s="1" t="s">
        <v>3</v>
      </c>
      <c r="C50" s="3">
        <v>64.642857142857139</v>
      </c>
    </row>
    <row r="51" spans="1:3" hidden="1">
      <c r="A51" s="1" t="s">
        <v>24</v>
      </c>
      <c r="B51" s="1" t="s">
        <v>4</v>
      </c>
      <c r="C51" s="3">
        <v>168.01666666666668</v>
      </c>
    </row>
    <row r="52" spans="1:3" hidden="1">
      <c r="A52" s="1" t="s">
        <v>24</v>
      </c>
      <c r="B52" s="1" t="s">
        <v>17</v>
      </c>
      <c r="C52" s="2">
        <v>3.92</v>
      </c>
    </row>
    <row r="53" spans="1:3" hidden="1">
      <c r="A53" s="1" t="s">
        <v>24</v>
      </c>
      <c r="B53" s="1" t="s">
        <v>10</v>
      </c>
      <c r="C53" s="3">
        <v>4360.4137931034484</v>
      </c>
    </row>
    <row r="54" spans="1:3" hidden="1">
      <c r="A54" s="1" t="s">
        <v>24</v>
      </c>
      <c r="B54" s="1" t="s">
        <v>11</v>
      </c>
      <c r="C54" s="3">
        <v>2402.4137931034484</v>
      </c>
    </row>
    <row r="55" spans="1:3" hidden="1">
      <c r="A55" s="1" t="s">
        <v>24</v>
      </c>
      <c r="B55" s="1" t="s">
        <v>23</v>
      </c>
      <c r="C55" s="2">
        <v>0.55096004808148547</v>
      </c>
    </row>
    <row r="56" spans="1:3" hidden="1">
      <c r="A56" s="1" t="s">
        <v>25</v>
      </c>
      <c r="B56" s="1" t="s">
        <v>0</v>
      </c>
      <c r="C56" s="2">
        <v>7.97</v>
      </c>
    </row>
    <row r="57" spans="1:3" hidden="1">
      <c r="A57" s="1" t="s">
        <v>25</v>
      </c>
      <c r="B57" s="1" t="s">
        <v>1</v>
      </c>
      <c r="C57" s="3">
        <v>1944.7388888888891</v>
      </c>
    </row>
    <row r="58" spans="1:3" hidden="1">
      <c r="A58" s="1" t="s">
        <v>25</v>
      </c>
      <c r="B58" s="1" t="s">
        <v>2</v>
      </c>
      <c r="C58" s="3">
        <v>379.84444444444438</v>
      </c>
    </row>
    <row r="59" spans="1:3" hidden="1">
      <c r="A59" s="1" t="s">
        <v>25</v>
      </c>
      <c r="B59" s="1" t="s">
        <v>3</v>
      </c>
      <c r="C59" s="3">
        <v>56.785714285714285</v>
      </c>
    </row>
    <row r="60" spans="1:3" hidden="1">
      <c r="A60" s="1" t="s">
        <v>25</v>
      </c>
      <c r="B60" s="1" t="s">
        <v>4</v>
      </c>
      <c r="C60" s="3">
        <v>167.3111111111111</v>
      </c>
    </row>
    <row r="61" spans="1:3" hidden="1">
      <c r="A61" s="1" t="s">
        <v>25</v>
      </c>
      <c r="B61" s="1" t="s">
        <v>17</v>
      </c>
      <c r="C61" s="2">
        <v>4.38</v>
      </c>
    </row>
    <row r="62" spans="1:3" hidden="1">
      <c r="A62" s="1" t="s">
        <v>25</v>
      </c>
      <c r="B62" s="1" t="s">
        <v>10</v>
      </c>
      <c r="C62" s="3">
        <v>3969</v>
      </c>
    </row>
    <row r="63" spans="1:3" hidden="1">
      <c r="A63" s="1" t="s">
        <v>25</v>
      </c>
      <c r="B63" s="1" t="s">
        <v>11</v>
      </c>
      <c r="C63" s="3">
        <v>2268.7586206896553</v>
      </c>
    </row>
    <row r="64" spans="1:3" hidden="1">
      <c r="A64" s="1" t="s">
        <v>25</v>
      </c>
      <c r="B64" s="1" t="s">
        <v>23</v>
      </c>
      <c r="C64" s="2">
        <v>0.57161970790870631</v>
      </c>
    </row>
    <row r="65" spans="1:3" hidden="1">
      <c r="A65" s="1" t="s">
        <v>26</v>
      </c>
      <c r="B65" s="1" t="s">
        <v>0</v>
      </c>
      <c r="C65" s="2">
        <v>7.9391111111111128</v>
      </c>
    </row>
    <row r="66" spans="1:3" hidden="1">
      <c r="A66" s="1" t="s">
        <v>26</v>
      </c>
      <c r="B66" s="1" t="s">
        <v>12</v>
      </c>
      <c r="C66" s="3">
        <v>49.035714285714285</v>
      </c>
    </row>
    <row r="67" spans="1:3" hidden="1">
      <c r="A67" s="1" t="s">
        <v>26</v>
      </c>
      <c r="B67" s="1" t="s">
        <v>1</v>
      </c>
      <c r="C67" s="3">
        <v>2022.9944444444445</v>
      </c>
    </row>
    <row r="68" spans="1:3" hidden="1">
      <c r="A68" s="1" t="s">
        <v>26</v>
      </c>
      <c r="B68" s="1" t="s">
        <v>2</v>
      </c>
      <c r="C68" s="3">
        <v>390.85000000000008</v>
      </c>
    </row>
    <row r="69" spans="1:3" hidden="1">
      <c r="A69" s="1" t="s">
        <v>26</v>
      </c>
      <c r="B69" s="1" t="s">
        <v>3</v>
      </c>
      <c r="C69" s="3">
        <v>42.884615384615387</v>
      </c>
    </row>
    <row r="70" spans="1:3" hidden="1">
      <c r="A70" s="1" t="s">
        <v>26</v>
      </c>
      <c r="B70" s="1" t="s">
        <v>4</v>
      </c>
      <c r="C70" s="3">
        <v>167.70555555555558</v>
      </c>
    </row>
    <row r="71" spans="1:3" hidden="1">
      <c r="A71" s="1" t="s">
        <v>26</v>
      </c>
      <c r="B71" s="1" t="s">
        <v>7</v>
      </c>
      <c r="C71" s="2">
        <v>16.459333333333333</v>
      </c>
    </row>
    <row r="72" spans="1:3" hidden="1">
      <c r="A72" s="1" t="s">
        <v>26</v>
      </c>
      <c r="B72" s="1" t="s">
        <v>6</v>
      </c>
      <c r="C72" s="3">
        <v>237.46428571428572</v>
      </c>
    </row>
    <row r="73" spans="1:3" hidden="1">
      <c r="A73" s="1" t="s">
        <v>27</v>
      </c>
      <c r="B73" s="1" t="s">
        <v>0</v>
      </c>
      <c r="C73" s="2">
        <v>7.9734444444444437</v>
      </c>
    </row>
    <row r="74" spans="1:3" hidden="1">
      <c r="A74" s="1" t="s">
        <v>27</v>
      </c>
      <c r="B74" s="1" t="s">
        <v>1</v>
      </c>
      <c r="C74" s="3">
        <v>1992.9722222222219</v>
      </c>
    </row>
    <row r="75" spans="1:3" hidden="1">
      <c r="A75" s="1" t="s">
        <v>27</v>
      </c>
      <c r="B75" s="1" t="s">
        <v>2</v>
      </c>
      <c r="C75" s="3">
        <v>386.30555555555554</v>
      </c>
    </row>
    <row r="76" spans="1:3" hidden="1">
      <c r="A76" s="1" t="s">
        <v>27</v>
      </c>
      <c r="B76" s="1" t="s">
        <v>3</v>
      </c>
      <c r="C76" s="3">
        <v>36.36</v>
      </c>
    </row>
    <row r="77" spans="1:3" hidden="1">
      <c r="A77" s="1" t="s">
        <v>27</v>
      </c>
      <c r="B77" s="1" t="s">
        <v>12</v>
      </c>
      <c r="C77" s="3">
        <v>48.714285714285715</v>
      </c>
    </row>
    <row r="78" spans="1:3" hidden="1">
      <c r="A78" s="1" t="s">
        <v>27</v>
      </c>
      <c r="B78" s="1" t="s">
        <v>4</v>
      </c>
      <c r="C78" s="3">
        <v>165.75</v>
      </c>
    </row>
    <row r="79" spans="1:3" hidden="1">
      <c r="A79" s="1" t="s">
        <v>27</v>
      </c>
      <c r="B79" s="1" t="s">
        <v>7</v>
      </c>
      <c r="C79" s="2">
        <v>9.6247777777777781</v>
      </c>
    </row>
    <row r="80" spans="1:3" hidden="1">
      <c r="A80" s="1" t="s">
        <v>28</v>
      </c>
      <c r="B80" s="1" t="s">
        <v>0</v>
      </c>
      <c r="C80" s="2">
        <v>8.3542722222222228</v>
      </c>
    </row>
    <row r="81" spans="1:3" hidden="1">
      <c r="A81" s="1" t="s">
        <v>28</v>
      </c>
      <c r="B81" s="1" t="s">
        <v>1</v>
      </c>
      <c r="C81" s="3">
        <v>2011.122222222222</v>
      </c>
    </row>
    <row r="82" spans="1:3" hidden="1">
      <c r="A82" s="1" t="s">
        <v>28</v>
      </c>
      <c r="B82" s="1" t="s">
        <v>2</v>
      </c>
      <c r="C82" s="3">
        <v>381.78888888888889</v>
      </c>
    </row>
    <row r="83" spans="1:3" hidden="1">
      <c r="A83" s="1" t="s">
        <v>28</v>
      </c>
      <c r="B83" s="1" t="s">
        <v>3</v>
      </c>
      <c r="C83" s="3">
        <v>35.269230769230766</v>
      </c>
    </row>
    <row r="84" spans="1:3" hidden="1">
      <c r="A84" s="1" t="s">
        <v>28</v>
      </c>
      <c r="B84" s="1" t="s">
        <v>4</v>
      </c>
      <c r="C84" s="3">
        <v>164.15</v>
      </c>
    </row>
    <row r="85" spans="1:3" hidden="1">
      <c r="A85" s="1" t="s">
        <v>28</v>
      </c>
      <c r="B85" s="1" t="s">
        <v>12</v>
      </c>
      <c r="C85" s="3">
        <v>54.552666666666674</v>
      </c>
    </row>
    <row r="86" spans="1:3" hidden="1">
      <c r="A86" s="1" t="s">
        <v>28</v>
      </c>
      <c r="B86" s="1" t="s">
        <v>7</v>
      </c>
      <c r="C86" s="2">
        <v>13.561944444444444</v>
      </c>
    </row>
    <row r="87" spans="1:3" hidden="1">
      <c r="A87" s="1" t="s">
        <v>28</v>
      </c>
      <c r="B87" s="1" t="s">
        <v>6</v>
      </c>
      <c r="C87" s="3">
        <v>233.16666666666663</v>
      </c>
    </row>
    <row r="88" spans="1:3" hidden="1">
      <c r="A88" s="1" t="s">
        <v>28</v>
      </c>
      <c r="B88" s="1" t="s">
        <v>37</v>
      </c>
      <c r="C88" s="3">
        <v>1292.7833333333333</v>
      </c>
    </row>
    <row r="89" spans="1:3" hidden="1">
      <c r="A89" s="1" t="s">
        <v>29</v>
      </c>
      <c r="B89" s="1" t="s">
        <v>0</v>
      </c>
      <c r="C89" s="2">
        <v>8.3858444444444462</v>
      </c>
    </row>
    <row r="90" spans="1:3" hidden="1">
      <c r="A90" s="1" t="s">
        <v>29</v>
      </c>
      <c r="B90" s="1" t="s">
        <v>1</v>
      </c>
      <c r="C90" s="3">
        <v>2077.5388888888892</v>
      </c>
    </row>
    <row r="91" spans="1:3" hidden="1">
      <c r="A91" s="1" t="s">
        <v>29</v>
      </c>
      <c r="B91" s="1" t="s">
        <v>2</v>
      </c>
      <c r="C91" s="3">
        <v>366.06111111111113</v>
      </c>
    </row>
    <row r="92" spans="1:3" hidden="1">
      <c r="A92" s="1" t="s">
        <v>29</v>
      </c>
      <c r="B92" s="1" t="s">
        <v>3</v>
      </c>
      <c r="C92" s="3">
        <v>32.153846153846153</v>
      </c>
    </row>
    <row r="93" spans="1:3" hidden="1">
      <c r="A93" s="1" t="s">
        <v>29</v>
      </c>
      <c r="B93" s="1" t="s">
        <v>4</v>
      </c>
      <c r="C93" s="3">
        <v>155.46666666666664</v>
      </c>
    </row>
    <row r="94" spans="1:3" hidden="1">
      <c r="A94" s="1" t="s">
        <v>29</v>
      </c>
      <c r="B94" s="1" t="s">
        <v>12</v>
      </c>
      <c r="C94" s="3">
        <v>6.4285714285714288</v>
      </c>
    </row>
    <row r="95" spans="1:3" hidden="1">
      <c r="A95" s="1" t="s">
        <v>29</v>
      </c>
      <c r="B95" s="1" t="s">
        <v>7</v>
      </c>
      <c r="C95" s="2">
        <v>0.66538888888888892</v>
      </c>
    </row>
    <row r="96" spans="1:3" hidden="1">
      <c r="A96" s="1" t="s">
        <v>29</v>
      </c>
      <c r="B96" s="1" t="s">
        <v>6</v>
      </c>
      <c r="C96" s="3">
        <v>219.25555555555556</v>
      </c>
    </row>
    <row r="97" spans="1:3" hidden="1">
      <c r="A97" s="1" t="s">
        <v>29</v>
      </c>
      <c r="B97" s="1" t="s">
        <v>37</v>
      </c>
      <c r="C97" s="3">
        <v>551.60504444444439</v>
      </c>
    </row>
    <row r="98" spans="1:3" hidden="1">
      <c r="A98" s="1" t="s">
        <v>30</v>
      </c>
      <c r="B98" s="1" t="s">
        <v>0</v>
      </c>
      <c r="C98" s="2">
        <v>8.1928333333333327</v>
      </c>
    </row>
    <row r="99" spans="1:3" hidden="1">
      <c r="A99" s="1" t="s">
        <v>30</v>
      </c>
      <c r="B99" s="1" t="s">
        <v>1</v>
      </c>
      <c r="C99" s="3">
        <v>2106.0999999999995</v>
      </c>
    </row>
    <row r="100" spans="1:3" hidden="1">
      <c r="A100" s="1" t="s">
        <v>30</v>
      </c>
      <c r="B100" s="1" t="s">
        <v>2</v>
      </c>
      <c r="C100" s="3">
        <v>358.25555555555553</v>
      </c>
    </row>
    <row r="101" spans="1:3" hidden="1">
      <c r="A101" s="1" t="s">
        <v>30</v>
      </c>
      <c r="B101" s="1" t="s">
        <v>4</v>
      </c>
      <c r="C101" s="3">
        <v>154.26666666666668</v>
      </c>
    </row>
    <row r="102" spans="1:3" hidden="1">
      <c r="A102" s="1" t="s">
        <v>30</v>
      </c>
      <c r="B102" s="1" t="s">
        <v>12</v>
      </c>
      <c r="C102" s="3">
        <v>10</v>
      </c>
    </row>
    <row r="103" spans="1:3" hidden="1">
      <c r="A103" s="1" t="s">
        <v>30</v>
      </c>
      <c r="B103" s="1" t="s">
        <v>6</v>
      </c>
      <c r="C103" s="3">
        <v>218.20555555555555</v>
      </c>
    </row>
    <row r="104" spans="1:3" hidden="1">
      <c r="A104" s="1" t="s">
        <v>30</v>
      </c>
      <c r="B104" s="1" t="s">
        <v>37</v>
      </c>
      <c r="C104" s="3">
        <v>521.51358888888888</v>
      </c>
    </row>
    <row r="105" spans="1:3" hidden="1">
      <c r="A105" s="1" t="s">
        <v>31</v>
      </c>
      <c r="B105" s="1" t="s">
        <v>0</v>
      </c>
      <c r="C105" s="2">
        <v>7.3896111111111127</v>
      </c>
    </row>
    <row r="106" spans="1:3" hidden="1">
      <c r="A106" s="1" t="s">
        <v>31</v>
      </c>
      <c r="B106" s="1" t="s">
        <v>1</v>
      </c>
      <c r="C106" s="3">
        <v>127.64949999999996</v>
      </c>
    </row>
    <row r="107" spans="1:3" hidden="1">
      <c r="A107" s="1" t="s">
        <v>31</v>
      </c>
      <c r="B107" s="1" t="s">
        <v>2</v>
      </c>
      <c r="C107" s="3">
        <v>22.133333333333333</v>
      </c>
    </row>
    <row r="108" spans="1:3" hidden="1">
      <c r="A108" s="1" t="s">
        <v>31</v>
      </c>
      <c r="B108" s="1" t="s">
        <v>3</v>
      </c>
      <c r="C108" s="3">
        <v>2</v>
      </c>
    </row>
    <row r="109" spans="1:3" hidden="1">
      <c r="A109" s="1" t="s">
        <v>31</v>
      </c>
      <c r="B109" s="1" t="s">
        <v>4</v>
      </c>
      <c r="C109" s="3">
        <v>9.9611111111111104</v>
      </c>
    </row>
    <row r="110" spans="1:3" hidden="1">
      <c r="A110" s="1" t="s">
        <v>31</v>
      </c>
      <c r="B110" s="1" t="s">
        <v>12</v>
      </c>
      <c r="C110" s="3">
        <v>2</v>
      </c>
    </row>
    <row r="111" spans="1:3" hidden="1">
      <c r="A111" s="1" t="s">
        <v>31</v>
      </c>
      <c r="B111" s="1" t="s">
        <v>6</v>
      </c>
      <c r="C111" s="3">
        <v>12.322222222222221</v>
      </c>
    </row>
    <row r="112" spans="1:3" hidden="1">
      <c r="A112" s="1" t="s">
        <v>31</v>
      </c>
      <c r="B112" s="1" t="s">
        <v>37</v>
      </c>
      <c r="C112" s="3">
        <v>16.749538888888893</v>
      </c>
    </row>
    <row r="113" spans="1:3" hidden="1">
      <c r="A113" s="1" t="s">
        <v>32</v>
      </c>
      <c r="B113" s="1" t="s">
        <v>0</v>
      </c>
      <c r="C113" s="2">
        <v>7.6735057471264385</v>
      </c>
    </row>
    <row r="114" spans="1:3" hidden="1">
      <c r="A114" s="1" t="s">
        <v>32</v>
      </c>
      <c r="B114" s="1" t="s">
        <v>1</v>
      </c>
      <c r="C114" s="3">
        <v>7196.0804597701153</v>
      </c>
    </row>
    <row r="115" spans="1:3" hidden="1">
      <c r="A115" s="1" t="s">
        <v>32</v>
      </c>
      <c r="B115" s="1" t="s">
        <v>2</v>
      </c>
      <c r="C115" s="3">
        <v>1240.367816091954</v>
      </c>
    </row>
    <row r="116" spans="1:3" hidden="1">
      <c r="A116" s="1" t="s">
        <v>32</v>
      </c>
      <c r="B116" s="1" t="s">
        <v>4</v>
      </c>
      <c r="C116" s="3">
        <v>474.85057471264361</v>
      </c>
    </row>
    <row r="117" spans="1:3" hidden="1">
      <c r="A117" s="1" t="s">
        <v>32</v>
      </c>
      <c r="B117" s="1" t="s">
        <v>12</v>
      </c>
      <c r="C117" s="3">
        <v>26.12</v>
      </c>
    </row>
    <row r="118" spans="1:3" hidden="1">
      <c r="A118" s="1" t="s">
        <v>32</v>
      </c>
      <c r="B118" s="1" t="s">
        <v>6</v>
      </c>
      <c r="C118" s="3">
        <v>637.85632183908058</v>
      </c>
    </row>
    <row r="119" spans="1:3" hidden="1">
      <c r="A119" s="1" t="s">
        <v>32</v>
      </c>
      <c r="B119" s="1" t="s">
        <v>37</v>
      </c>
      <c r="C119" s="3">
        <v>2206.7931034482763</v>
      </c>
    </row>
    <row r="120" spans="1:3" hidden="1">
      <c r="A120" s="1" t="s">
        <v>33</v>
      </c>
      <c r="B120" s="1" t="s">
        <v>0</v>
      </c>
      <c r="C120" s="2">
        <v>8.3953448275862073</v>
      </c>
    </row>
    <row r="121" spans="1:3" hidden="1">
      <c r="A121" s="1" t="s">
        <v>33</v>
      </c>
      <c r="B121" s="1" t="s">
        <v>1</v>
      </c>
      <c r="C121" s="3">
        <v>745.07758620689651</v>
      </c>
    </row>
    <row r="122" spans="1:3" hidden="1">
      <c r="A122" s="1" t="s">
        <v>33</v>
      </c>
      <c r="B122" s="1" t="s">
        <v>2</v>
      </c>
      <c r="C122" s="3">
        <v>75.408045977011497</v>
      </c>
    </row>
    <row r="123" spans="1:3" hidden="1">
      <c r="A123" s="1" t="s">
        <v>33</v>
      </c>
      <c r="B123" s="1" t="s">
        <v>3</v>
      </c>
      <c r="C123" s="3">
        <v>2</v>
      </c>
    </row>
    <row r="124" spans="1:3" hidden="1">
      <c r="A124" s="1" t="s">
        <v>33</v>
      </c>
      <c r="B124" s="1" t="s">
        <v>4</v>
      </c>
      <c r="C124" s="3">
        <v>48.735632183908045</v>
      </c>
    </row>
    <row r="125" spans="1:3" hidden="1">
      <c r="A125" s="1" t="s">
        <v>33</v>
      </c>
      <c r="B125" s="1" t="s">
        <v>12</v>
      </c>
      <c r="C125" s="3">
        <v>2</v>
      </c>
    </row>
    <row r="126" spans="1:3" hidden="1">
      <c r="A126" s="1" t="s">
        <v>33</v>
      </c>
      <c r="B126" s="1" t="s">
        <v>6</v>
      </c>
      <c r="C126" s="3">
        <v>47.321839080459775</v>
      </c>
    </row>
    <row r="127" spans="1:3" hidden="1">
      <c r="A127" s="1" t="s">
        <v>33</v>
      </c>
      <c r="B127" s="1" t="s">
        <v>37</v>
      </c>
      <c r="C127" s="3">
        <v>88.937160919540233</v>
      </c>
    </row>
    <row r="128" spans="1:3" hidden="1">
      <c r="A128" s="1" t="s">
        <v>34</v>
      </c>
      <c r="B128" s="1" t="s">
        <v>0</v>
      </c>
      <c r="C128" s="2">
        <v>8.0012643678160931</v>
      </c>
    </row>
    <row r="129" spans="1:3" hidden="1">
      <c r="A129" s="1" t="s">
        <v>34</v>
      </c>
      <c r="B129" s="1" t="s">
        <v>1</v>
      </c>
      <c r="C129" s="3">
        <v>11421.465517241379</v>
      </c>
    </row>
    <row r="130" spans="1:3" hidden="1">
      <c r="A130" s="1" t="s">
        <v>34</v>
      </c>
      <c r="B130" s="1" t="s">
        <v>2</v>
      </c>
      <c r="C130" s="3">
        <v>1913.4425287356321</v>
      </c>
    </row>
    <row r="131" spans="1:3" hidden="1">
      <c r="A131" s="1" t="s">
        <v>34</v>
      </c>
      <c r="B131" s="1" t="s">
        <v>4</v>
      </c>
      <c r="C131" s="3">
        <v>741.24712643678151</v>
      </c>
    </row>
    <row r="132" spans="1:3" hidden="1">
      <c r="A132" s="1" t="s">
        <v>34</v>
      </c>
      <c r="B132" s="1" t="s">
        <v>12</v>
      </c>
      <c r="C132" s="3">
        <v>32.166666666666664</v>
      </c>
    </row>
    <row r="133" spans="1:3" hidden="1">
      <c r="A133" s="1" t="s">
        <v>34</v>
      </c>
      <c r="B133" s="1" t="s">
        <v>6</v>
      </c>
      <c r="C133" s="3">
        <v>956.51149425287338</v>
      </c>
    </row>
    <row r="134" spans="1:3" hidden="1">
      <c r="A134" s="1" t="s">
        <v>34</v>
      </c>
      <c r="B134" s="1" t="s">
        <v>37</v>
      </c>
      <c r="C134" s="3">
        <v>2840.0482758620687</v>
      </c>
    </row>
    <row r="135" spans="1:3" hidden="1">
      <c r="A135" s="1" t="s">
        <v>14</v>
      </c>
      <c r="B135" s="1" t="s">
        <v>0</v>
      </c>
      <c r="C135" s="2">
        <v>8.3913888888888906</v>
      </c>
    </row>
    <row r="136" spans="1:3" hidden="1">
      <c r="A136" s="1" t="s">
        <v>14</v>
      </c>
      <c r="B136" s="1" t="s">
        <v>1</v>
      </c>
      <c r="C136" s="3">
        <v>2056.0499999999997</v>
      </c>
    </row>
    <row r="137" spans="1:3" hidden="1">
      <c r="A137" s="1" t="s">
        <v>14</v>
      </c>
      <c r="B137" s="1" t="s">
        <v>2</v>
      </c>
      <c r="C137" s="3">
        <v>365.43888888888887</v>
      </c>
    </row>
    <row r="138" spans="1:3" hidden="1">
      <c r="A138" s="1" t="s">
        <v>14</v>
      </c>
      <c r="B138" s="1" t="s">
        <v>4</v>
      </c>
      <c r="C138" s="3">
        <v>155.61111111111111</v>
      </c>
    </row>
    <row r="139" spans="1:3" hidden="1">
      <c r="A139" s="1" t="s">
        <v>14</v>
      </c>
      <c r="B139" s="1" t="s">
        <v>3</v>
      </c>
      <c r="C139" s="3">
        <v>35.28</v>
      </c>
    </row>
    <row r="140" spans="1:3" hidden="1">
      <c r="A140" s="1" t="s">
        <v>14</v>
      </c>
      <c r="B140" s="1" t="s">
        <v>12</v>
      </c>
      <c r="C140" s="3">
        <v>7</v>
      </c>
    </row>
    <row r="141" spans="1:3" hidden="1">
      <c r="A141" s="1" t="s">
        <v>14</v>
      </c>
      <c r="B141" s="1" t="s">
        <v>7</v>
      </c>
      <c r="C141" s="2">
        <v>0.78983333333333339</v>
      </c>
    </row>
    <row r="142" spans="1:3" hidden="1">
      <c r="A142" s="1" t="s">
        <v>14</v>
      </c>
      <c r="B142" s="1" t="s">
        <v>6</v>
      </c>
      <c r="C142" s="3">
        <v>222.84444444444446</v>
      </c>
    </row>
    <row r="143" spans="1:3">
      <c r="A143" s="1" t="s">
        <v>15</v>
      </c>
      <c r="B143" s="1" t="s">
        <v>0</v>
      </c>
      <c r="C143" s="2">
        <v>7.881444444444444</v>
      </c>
    </row>
    <row r="144" spans="1:3">
      <c r="A144" s="1" t="s">
        <v>15</v>
      </c>
      <c r="B144" s="1" t="s">
        <v>1</v>
      </c>
      <c r="C144" s="3">
        <v>134.89905555555558</v>
      </c>
    </row>
    <row r="145" spans="1:14">
      <c r="A145" s="1" t="s">
        <v>15</v>
      </c>
      <c r="B145" s="1" t="s">
        <v>2</v>
      </c>
      <c r="C145" s="3">
        <v>24.744444444444451</v>
      </c>
    </row>
    <row r="146" spans="1:14">
      <c r="A146" s="1" t="s">
        <v>15</v>
      </c>
      <c r="B146" s="1" t="s">
        <v>3</v>
      </c>
      <c r="C146" s="3">
        <v>2</v>
      </c>
    </row>
    <row r="147" spans="1:14">
      <c r="A147" s="1" t="s">
        <v>15</v>
      </c>
      <c r="B147" s="1" t="s">
        <v>4</v>
      </c>
      <c r="C147" s="3">
        <v>9.7672222222222214</v>
      </c>
    </row>
    <row r="148" spans="1:14">
      <c r="A148" s="1" t="s">
        <v>15</v>
      </c>
      <c r="B148" s="1" t="s">
        <v>6</v>
      </c>
      <c r="C148" s="3">
        <v>12.744444444444444</v>
      </c>
    </row>
    <row r="153" spans="1:14">
      <c r="N153" s="4"/>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Report Book</vt:lpstr>
      <vt:lpstr>Dashboard (Daily Analysis)</vt:lpstr>
      <vt:lpstr>Analysis Sheet 1</vt:lpstr>
      <vt:lpstr>Analysis Sheet 2</vt:lpstr>
      <vt:lpstr>Parameter (Wise)</vt:lpstr>
      <vt:lpstr>Stages (Wise)</vt:lpstr>
      <vt:lpstr>'Analysis Sheet 1'!Extract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dc:creator>
  <cp:lastModifiedBy>Deepu Kumar</cp:lastModifiedBy>
  <cp:lastPrinted>2025-06-06T04:26:16Z</cp:lastPrinted>
  <dcterms:created xsi:type="dcterms:W3CDTF">2015-06-05T18:17:00Z</dcterms:created>
  <dcterms:modified xsi:type="dcterms:W3CDTF">2026-01-09T14:02:09Z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F8B058B33E674BA8A7BFBACD6BE1A9D0</vt:lpwstr>
  </property>
  <property fmtid="{D5CDD505-2E9C-101B-9397-08002B2CF9AE}" pid="3" name="KSOProductBuildVer">
    <vt:lpwstr>1033-11.2.0.11537</vt:lpwstr>
  </property>
</Properties>
</file>